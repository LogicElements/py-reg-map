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D:\work\gitlab\py-reg-map\example\"/>
    </mc:Choice>
  </mc:AlternateContent>
  <xr:revisionPtr revIDLastSave="0" documentId="13_ncr:1_{4DAEF274-F974-4720-AE2B-B27D0545A26D}" xr6:coauthVersionLast="47" xr6:coauthVersionMax="47" xr10:uidLastSave="{00000000-0000-0000-0000-000000000000}"/>
  <bookViews>
    <workbookView xWindow="255" yWindow="345" windowWidth="25695" windowHeight="205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6" i="25" l="1"/>
  <c r="K62" i="25"/>
  <c r="L63" i="25"/>
  <c r="I63" i="25"/>
  <c r="K63" i="25" s="1"/>
  <c r="L62" i="25"/>
  <c r="L66" i="25"/>
  <c r="L59" i="25"/>
  <c r="L58" i="25"/>
  <c r="L57" i="25"/>
  <c r="L56" i="25"/>
  <c r="L53" i="25"/>
  <c r="L49" i="25"/>
  <c r="L43" i="25"/>
  <c r="I43" i="25"/>
  <c r="I44" i="25" s="1"/>
  <c r="I45" i="25" s="1"/>
  <c r="I46" i="25" s="1"/>
  <c r="I47" i="25" s="1"/>
  <c r="I48" i="25" s="1"/>
  <c r="I49" i="25" s="1"/>
  <c r="I50" i="25" s="1"/>
  <c r="I51" i="25" s="1"/>
  <c r="I52" i="25" s="1"/>
  <c r="I53" i="25" s="1"/>
  <c r="I54" i="25" s="1"/>
  <c r="I55" i="25" s="1"/>
  <c r="I56" i="25" s="1"/>
  <c r="I57" i="25" s="1"/>
  <c r="I58" i="25" s="1"/>
  <c r="I59" i="25" s="1"/>
  <c r="K59" i="25" s="1"/>
  <c r="F10" i="25"/>
  <c r="F9" i="25"/>
  <c r="F8" i="25"/>
  <c r="K43" i="25" l="1"/>
  <c r="K55" i="25"/>
  <c r="K52" i="25"/>
  <c r="K48" i="25"/>
  <c r="K56" i="25"/>
  <c r="K47" i="25"/>
  <c r="K57" i="25"/>
  <c r="K49" i="25"/>
  <c r="K54" i="25"/>
  <c r="K46" i="25"/>
  <c r="K53" i="25"/>
  <c r="K45" i="25"/>
  <c r="K44" i="25"/>
  <c r="K51" i="25"/>
  <c r="K58" i="25"/>
  <c r="K50" i="25"/>
  <c r="L40" i="25"/>
  <c r="L39" i="25"/>
  <c r="L38" i="25"/>
  <c r="L37" i="25"/>
  <c r="L35" i="25"/>
  <c r="L34" i="25"/>
  <c r="L33" i="25"/>
  <c r="L32" i="25"/>
  <c r="L28" i="25"/>
  <c r="L27" i="25"/>
  <c r="L20" i="25"/>
  <c r="L19" i="25"/>
  <c r="L18" i="25"/>
  <c r="K37" i="25"/>
  <c r="K32" i="25"/>
  <c r="I38" i="25" l="1"/>
  <c r="I39" i="25" l="1"/>
  <c r="K38" i="25"/>
  <c r="I40" i="25" l="1"/>
  <c r="K40" i="25" s="1"/>
  <c r="K39" i="25"/>
  <c r="I18" i="25" l="1"/>
  <c r="F12" i="25"/>
  <c r="F7" i="25"/>
  <c r="K18" i="25" l="1"/>
  <c r="I19" i="25"/>
  <c r="I20" i="25" s="1"/>
  <c r="I21" i="25" s="1"/>
  <c r="I22" i="25" l="1"/>
  <c r="K21" i="25"/>
  <c r="K19" i="25"/>
  <c r="I33" i="25"/>
  <c r="K33" i="25" s="1"/>
  <c r="K22" i="25" l="1"/>
  <c r="I23" i="25"/>
  <c r="K20" i="25"/>
  <c r="I34" i="25"/>
  <c r="K23" i="25" l="1"/>
  <c r="I25" i="25"/>
  <c r="I24" i="25"/>
  <c r="K24" i="25" s="1"/>
  <c r="I35" i="25"/>
  <c r="K35" i="25" s="1"/>
  <c r="K34" i="25"/>
  <c r="K25" i="25" l="1"/>
  <c r="I26" i="25"/>
  <c r="I27" i="25" l="1"/>
  <c r="K26" i="25"/>
  <c r="I28" i="25" l="1"/>
  <c r="K27" i="25"/>
  <c r="K28" i="25" l="1"/>
</calcChain>
</file>

<file path=xl/sharedStrings.xml><?xml version="1.0" encoding="utf-8"?>
<sst xmlns="http://schemas.openxmlformats.org/spreadsheetml/2006/main" count="324" uniqueCount="208">
  <si>
    <t>Address</t>
  </si>
  <si>
    <t xml:space="preserve"> </t>
  </si>
  <si>
    <t>Name</t>
  </si>
  <si>
    <t>Code</t>
  </si>
  <si>
    <t>Description</t>
  </si>
  <si>
    <t>C define</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</si>
  <si>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</si>
  <si>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</si>
  <si>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</si>
  <si>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</si>
  <si>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</si>
  <si>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</si>
  <si>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</si>
  <si>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</si>
  <si>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</si>
  <si>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</si>
  <si>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</si>
  <si>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</si>
  <si>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</si>
  <si>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</si>
  <si>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</si>
  <si>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</si>
  <si>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</si>
  <si>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</si>
  <si>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</si>
  <si>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</si>
  <si>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</si>
  <si>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</si>
  <si>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</si>
  <si>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</si>
  <si>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</si>
  <si>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</si>
  <si>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</si>
  <si>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</si>
  <si>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</si>
  <si>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</si>
  <si>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</si>
  <si>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</si>
  <si>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CRC checksum of the current application</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</si>
  <si>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</si>
  <si>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</si>
  <si>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</si>
  <si>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</si>
  <si>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</si>
  <si>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</si>
  <si>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</si>
  <si>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</si>
  <si>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</si>
  <si>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</si>
  <si>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</si>
  <si>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</si>
  <si>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</si>
  <si>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</si>
  <si>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</si>
  <si>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</si>
  <si>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</si>
  <si>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</si>
  <si>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</si>
  <si>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</si>
  <si>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</si>
  <si>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</si>
  <si>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</si>
  <si>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</si>
  <si>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</si>
  <si>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</si>
  <si>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</si>
  <si>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</si>
  <si>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</si>
  <si>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</si>
  <si>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Floating-point single-precision number</t>
  </si>
  <si>
    <t>ASCII String terminated with null character</t>
  </si>
  <si>
    <t>C# JSON</t>
  </si>
  <si>
    <t>Invalid</t>
  </si>
  <si>
    <t>CONF_REG</t>
  </si>
  <si>
    <t>ENUM</t>
  </si>
  <si>
    <t>Enumeration</t>
  </si>
  <si>
    <t>STRING</t>
  </si>
  <si>
    <t>RegMap destination</t>
  </si>
  <si>
    <t>Minimal value</t>
  </si>
  <si>
    <t>Maximal value</t>
  </si>
  <si>
    <t>List of valid values, just one can be selected.</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</si>
  <si>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</si>
  <si>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</si>
  <si>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</si>
  <si>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</si>
  <si>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</si>
  <si>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</si>
  <si>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</si>
  <si>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</si>
  <si>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</si>
  <si>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</si>
  <si>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</si>
  <si>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</si>
  <si>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</si>
  <si>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</si>
  <si>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</si>
  <si>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</si>
  <si>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</si>
  <si>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</si>
  <si>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</si>
  <si>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</si>
  <si>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</si>
  <si>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</si>
  <si>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</si>
  <si>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</si>
  <si>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</si>
  <si>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</si>
  <si>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</si>
  <si>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</si>
  <si>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</si>
  <si>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</si>
  <si>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</si>
  <si>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</si>
  <si>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</si>
  <si>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</si>
  <si>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</si>
  <si>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</si>
  <si>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</si>
  <si>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</si>
  <si>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</si>
  <si>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</si>
  <si>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</si>
  <si>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</si>
  <si>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</si>
  <si>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</si>
  <si>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</si>
  <si>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</si>
  <si>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</si>
  <si>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</si>
  <si>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</si>
  <si>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</si>
  <si>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</si>
  <si>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</si>
  <si>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</si>
  <si>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</si>
  <si>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</si>
  <si>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</si>
  <si>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</si>
  <si>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</si>
  <si>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</si>
  <si>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</si>
  <si>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</si>
  <si>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</si>
  <si>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</si>
  <si>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</si>
  <si>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</si>
  <si>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</si>
  <si>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</si>
  <si>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</si>
  <si>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</si>
  <si>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</si>
  <si>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</si>
  <si>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</si>
  <si>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</si>
  <si>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</si>
  <si>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</si>
  <si>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</si>
  <si>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</si>
  <si>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</si>
  <si>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</si>
  <si>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</si>
  <si>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</si>
  <si>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</si>
  <si>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</si>
  <si>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</si>
  <si>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</si>
  <si>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</si>
  <si>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</si>
  <si>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</si>
  <si>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</si>
  <si>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</si>
  <si>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</si>
  <si>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</si>
  <si>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</si>
  <si>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</si>
  <si>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</si>
  <si>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</si>
  <si>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</si>
  <si>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</si>
  <si>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</si>
  <si>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</si>
  <si>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</si>
  <si>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</si>
  <si>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</si>
  <si>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</si>
  <si>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</si>
  <si>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</si>
  <si>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</si>
  <si>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</si>
  <si>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</si>
  <si>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</si>
  <si>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</si>
  <si>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</si>
  <si>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</si>
  <si>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</si>
  <si>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</si>
  <si>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</si>
  <si>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</si>
  <si>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</si>
  <si>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</si>
  <si>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Debug information</t>
  </si>
  <si>
    <t>C:\Users\marti\Desktop\VMS-1501\VMS-1511_FW\Documents\txts\Vms1511_Modbus.json</t>
  </si>
  <si>
    <t>C:\Users\marti\Desktop\VMS-1501\VMS-1511_FW\Documents\txts\Vms1511Regs.py</t>
  </si>
  <si>
    <t>C:\Users\marti\Desktop\VMS-1501\VMS-1511_FW\Documents\txts\Vms1511_Define.txt</t>
  </si>
  <si>
    <t>C:\Users\marti\Desktop\VMS-1501\VMS-1511_FW\Documents\txts\Vms1511_Storage.txt</t>
  </si>
  <si>
    <t>C:\Users\marti\Desktop\VMS-1501\VMS-1511_FW\Documents\txts\Vms1511_Factory.txt</t>
  </si>
  <si>
    <t>C:\Users\marti\Desktop\VMS-1501\VMS-1511_FW\Documents\txts\reg_map.c</t>
  </si>
  <si>
    <t>C:\Users\marti\Desktop\VMS-1501\VMS-1511_FW\Documents\txts\Vms1511_registers.json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</si>
</sst>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6"/>
  <sheetViews>
    <sheetView tabSelected="1" zoomScaleNormal="100" workbookViewId="0">
      <selection activeCell="E27" sqref="E27"/>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102</v>
      </c>
      <c r="L3" s="8" t="s">
        <v>206</v>
      </c>
      <c r="T3" s="31"/>
    </row>
    <row r="4" spans="1:26" ht="24.95" customHeight="1" x14ac:dyDescent="0.25">
      <c r="D4" s="31" t="s">
        <v>16</v>
      </c>
      <c r="E4" s="31"/>
      <c r="F4" s="31" t="s">
        <v>73</v>
      </c>
      <c r="J4" s="3" t="s">
        <v>1</v>
      </c>
      <c r="K4" s="9" t="s">
        <v>5</v>
      </c>
      <c r="L4" s="8" t="s">
        <v>203</v>
      </c>
      <c r="M4" s="11"/>
      <c r="U4" s="12" t="s">
        <v>1</v>
      </c>
      <c r="Z4" s="10"/>
    </row>
    <row r="5" spans="1:26" ht="24.95" customHeight="1" x14ac:dyDescent="0.25">
      <c r="D5" s="31" t="s">
        <v>17</v>
      </c>
      <c r="E5" s="31"/>
      <c r="F5" s="31" t="s">
        <v>18</v>
      </c>
      <c r="J5" s="3" t="s">
        <v>1</v>
      </c>
      <c r="K5" s="9" t="s">
        <v>71</v>
      </c>
      <c r="L5" s="8" t="s">
        <v>140</v>
      </c>
      <c r="M5" s="11"/>
      <c r="U5" s="12" t="s">
        <v>1</v>
      </c>
      <c r="Z5" s="10"/>
    </row>
    <row r="6" spans="1:26" ht="24.95" customHeight="1" x14ac:dyDescent="0.25">
      <c r="D6" s="31" t="s">
        <v>58</v>
      </c>
      <c r="E6" s="13"/>
      <c r="F6" s="32">
        <v>1</v>
      </c>
      <c r="J6" s="3" t="s">
        <v>1</v>
      </c>
      <c r="K6" s="9" t="s">
        <v>15</v>
      </c>
      <c r="L6" s="8" t="s">
        <v>204</v>
      </c>
      <c r="M6" s="11"/>
      <c r="U6" s="12" t="s">
        <v>1</v>
      </c>
      <c r="Z6" s="10"/>
    </row>
    <row r="7" spans="1:26" ht="24.95" customHeight="1" x14ac:dyDescent="0.25">
      <c r="D7" s="31" t="s">
        <v>101</v>
      </c>
      <c r="E7" s="13"/>
      <c r="F7" s="31" t="str">
        <f>GetWorkName()</f>
        <v>Template</v>
      </c>
      <c r="J7" s="3" t="s">
        <v>1</v>
      </c>
      <c r="K7" s="9" t="s">
        <v>19</v>
      </c>
      <c r="L7" s="8" t="s">
        <v>205</v>
      </c>
      <c r="M7" s="11"/>
      <c r="U7" s="12" t="s">
        <v>1</v>
      </c>
      <c r="Z7" s="10"/>
    </row>
    <row r="8" spans="1:26" ht="24.95" customHeight="1" x14ac:dyDescent="0.25">
      <c r="D8" s="31" t="s">
        <v>77</v>
      </c>
      <c r="E8" s="13"/>
      <c r="F8" s="31" t="str">
        <f>GetPath()&amp;"\..\Firmware\Vms1511-APP\Core\Common\"</f>
        <v>D:\work\gitlab\py-reg-map\example\..\Firmware\Vms1511-APP\Core\Common\</v>
      </c>
      <c r="J8" s="3" t="s">
        <v>1</v>
      </c>
      <c r="K8" s="9" t="s">
        <v>103</v>
      </c>
      <c r="L8" s="8" t="s">
        <v>201</v>
      </c>
      <c r="M8" s="11"/>
      <c r="U8" s="12" t="s">
        <v>1</v>
      </c>
      <c r="Z8" s="10"/>
    </row>
    <row r="9" spans="1:26" ht="24.95" customHeight="1" x14ac:dyDescent="0.25">
      <c r="D9" s="31" t="s">
        <v>106</v>
      </c>
      <c r="E9" s="13"/>
      <c r="F9" s="31" t="str">
        <f>GetPath()&amp;"\..\Firmware\Vms1511-APP\Core\Serial\"</f>
        <v>D:\work\gitlab\py-reg-map\example\..\Firmware\Vms1511-APP\Core\Serial\</v>
      </c>
      <c r="J9" s="3"/>
      <c r="K9" s="9" t="s">
        <v>1</v>
      </c>
      <c r="L9" s="8" t="s">
        <v>202</v>
      </c>
      <c r="M9" s="11"/>
      <c r="Z9" s="10"/>
    </row>
    <row r="10" spans="1:26" ht="24.95" customHeight="1" x14ac:dyDescent="0.25">
      <c r="D10" s="31" t="s">
        <v>111</v>
      </c>
      <c r="E10" s="13"/>
      <c r="F10" s="31" t="str">
        <f>GetPath()&amp;"\..\Tests\vms-1511\"</f>
        <v>D:\work\gitlab\py-reg-map\example\..\Tests\vms-1511\</v>
      </c>
      <c r="K10" s="9" t="s">
        <v>112</v>
      </c>
      <c r="L10" s="8" t="s">
        <v>207</v>
      </c>
      <c r="M10" s="11"/>
    </row>
    <row r="11" spans="1:26" ht="24.75" customHeight="1" x14ac:dyDescent="0.25">
      <c r="D11" s="31" t="s">
        <v>113</v>
      </c>
      <c r="F11" s="31"/>
      <c r="K11" s="10"/>
      <c r="M11" s="11"/>
    </row>
    <row r="12" spans="1:26" ht="24.75" customHeight="1" x14ac:dyDescent="0.25">
      <c r="D12" s="31" t="s">
        <v>109</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6</v>
      </c>
      <c r="E16" s="56" t="s">
        <v>31</v>
      </c>
      <c r="F16" s="45" t="s">
        <v>8</v>
      </c>
      <c r="G16" s="45" t="s">
        <v>37</v>
      </c>
      <c r="H16" s="45" t="s">
        <v>9</v>
      </c>
      <c r="I16" s="43" t="s">
        <v>0</v>
      </c>
      <c r="J16" s="45" t="s">
        <v>11</v>
      </c>
      <c r="K16" s="43" t="s">
        <v>14</v>
      </c>
      <c r="L16" s="43" t="s">
        <v>2</v>
      </c>
      <c r="M16" s="50" t="s">
        <v>92</v>
      </c>
      <c r="N16" s="45" t="s">
        <v>12</v>
      </c>
      <c r="O16" s="47" t="s">
        <v>78</v>
      </c>
      <c r="P16" s="47" t="s">
        <v>79</v>
      </c>
      <c r="Q16" s="47" t="s">
        <v>81</v>
      </c>
      <c r="R16" s="47" t="s">
        <v>107</v>
      </c>
      <c r="S16" s="49" t="s">
        <v>72</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128</v>
      </c>
      <c r="F18" s="14" t="s">
        <v>30</v>
      </c>
      <c r="G18" s="5" t="s">
        <v>43</v>
      </c>
      <c r="H18" s="14" t="s">
        <v>40</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125</v>
      </c>
      <c r="N18" s="3">
        <v>0</v>
      </c>
      <c r="O18" s="3"/>
      <c r="P18" s="3"/>
      <c r="Q18" s="3" t="s">
        <v>82</v>
      </c>
      <c r="R18" s="3"/>
      <c r="T18" s="2" t="s">
        <v>126</v>
      </c>
    </row>
    <row r="19" spans="1:20" x14ac:dyDescent="0.25">
      <c r="D19" s="13"/>
      <c r="E19" s="11" t="s">
        <v>41</v>
      </c>
      <c r="F19" s="14" t="s">
        <v>30</v>
      </c>
      <c r="G19" s="5" t="s">
        <v>43</v>
      </c>
      <c r="H19" s="5" t="s">
        <v>46</v>
      </c>
      <c r="I19" s="14">
        <f t="shared" ref="I19:I28"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100</v>
      </c>
      <c r="N19" s="3">
        <v>1001</v>
      </c>
      <c r="O19" s="10">
        <v>1001</v>
      </c>
      <c r="P19" s="10">
        <v>5050</v>
      </c>
      <c r="R19" s="29"/>
      <c r="T19" s="2" t="s">
        <v>88</v>
      </c>
    </row>
    <row r="20" spans="1:20" x14ac:dyDescent="0.25">
      <c r="A20" s="34"/>
      <c r="D20" s="13"/>
      <c r="E20" t="s">
        <v>108</v>
      </c>
      <c r="F20" s="3" t="s">
        <v>30</v>
      </c>
      <c r="G20" s="3" t="s">
        <v>39</v>
      </c>
      <c r="H20" s="3" t="s">
        <v>40</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110</v>
      </c>
      <c r="N20" s="29"/>
      <c r="O20" s="29"/>
      <c r="P20" s="3"/>
      <c r="Q20" s="29"/>
      <c r="R20" s="29"/>
      <c r="S20" s="34"/>
      <c r="T20" t="s">
        <v>114</v>
      </c>
    </row>
    <row r="21" spans="1:20" x14ac:dyDescent="0.25">
      <c r="A21" s="34"/>
      <c r="D21" s="13"/>
      <c r="E21" s="11"/>
      <c r="F21" s="3" t="s">
        <v>30</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115</v>
      </c>
      <c r="M21" t="s">
        <v>116</v>
      </c>
      <c r="N21" s="29"/>
      <c r="Q21" s="3"/>
      <c r="R21" s="29"/>
      <c r="T21" s="2" t="s">
        <v>127</v>
      </c>
    </row>
    <row r="22" spans="1:20" x14ac:dyDescent="0.25">
      <c r="A22" s="34"/>
      <c r="D22" s="14"/>
      <c r="E22" s="2"/>
      <c r="F22" s="3" t="s">
        <v>30</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120</v>
      </c>
      <c r="M22" t="s">
        <v>121</v>
      </c>
      <c r="N22" s="29"/>
      <c r="O22" s="29"/>
      <c r="P22" s="29"/>
      <c r="Q22" s="29"/>
      <c r="R22" s="29"/>
      <c r="S22" s="34"/>
      <c r="T22" t="s">
        <v>122</v>
      </c>
    </row>
    <row r="23" spans="1:20" x14ac:dyDescent="0.25">
      <c r="A23" s="34"/>
      <c r="D23" s="14"/>
      <c r="E23" s="2"/>
      <c r="F23" s="3" t="s">
        <v>30</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130</v>
      </c>
      <c r="M23" t="s">
        <v>131</v>
      </c>
      <c r="N23" s="29"/>
      <c r="O23" s="29"/>
      <c r="P23" s="29"/>
      <c r="Q23" s="29"/>
      <c r="R23" s="29"/>
      <c r="S23" s="34"/>
      <c r="T23" s="2" t="s">
        <v>132</v>
      </c>
    </row>
    <row r="24" spans="1:20" s="34" customFormat="1" x14ac:dyDescent="0.25">
      <c r="D24" s="39"/>
      <c r="E24"/>
      <c r="F24" s="3" t="s">
        <v>30</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147</v>
      </c>
      <c r="M24" t="s">
        <v>148</v>
      </c>
      <c r="N24" s="29"/>
      <c r="O24" s="29"/>
      <c r="P24" s="29"/>
      <c r="Q24" s="29"/>
      <c r="R24" s="29"/>
      <c r="T24" t="s">
        <v>149</v>
      </c>
    </row>
    <row r="25" spans="1:20" x14ac:dyDescent="0.25">
      <c r="A25" s="34"/>
      <c r="D25" s="14"/>
      <c r="E25" s="2"/>
      <c r="F25" s="3" t="s">
        <v>30</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117</v>
      </c>
      <c r="M25" t="s">
        <v>118</v>
      </c>
      <c r="N25" s="29">
        <v>16</v>
      </c>
      <c r="O25" s="29"/>
      <c r="P25" s="29"/>
      <c r="Q25" s="29"/>
      <c r="R25" s="29"/>
      <c r="S25" s="34"/>
      <c r="T25" t="s">
        <v>119</v>
      </c>
    </row>
    <row r="26" spans="1:20" x14ac:dyDescent="0.25">
      <c r="A26" s="34"/>
      <c r="D26" s="14"/>
      <c r="E26" s="2"/>
      <c r="F26" s="3" t="s">
        <v>30</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137</v>
      </c>
      <c r="M26" t="s">
        <v>138</v>
      </c>
      <c r="N26" s="29"/>
      <c r="O26" s="29"/>
      <c r="P26" s="29"/>
      <c r="Q26" s="29"/>
      <c r="R26" s="29"/>
      <c r="S26" s="34"/>
      <c r="T26" s="2" t="s">
        <v>139</v>
      </c>
    </row>
    <row r="27" spans="1:20" s="13" customFormat="1" x14ac:dyDescent="0.25">
      <c r="A27" s="36"/>
      <c r="B27" s="12"/>
      <c r="C27" s="12"/>
      <c r="D27" s="14"/>
      <c r="E27" s="37" t="s">
        <v>123</v>
      </c>
      <c r="F27" s="5" t="s">
        <v>30</v>
      </c>
      <c r="G27" s="5" t="s">
        <v>43</v>
      </c>
      <c r="H27" s="5" t="s">
        <v>45</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124</v>
      </c>
      <c r="N27" s="33"/>
      <c r="O27" s="33">
        <v>0</v>
      </c>
      <c r="P27" s="33">
        <v>9901</v>
      </c>
      <c r="Q27" s="33"/>
      <c r="R27" s="5"/>
      <c r="S27" s="33"/>
      <c r="T27" s="38" t="s">
        <v>136</v>
      </c>
    </row>
    <row r="28" spans="1:20" x14ac:dyDescent="0.25">
      <c r="A28" s="34"/>
      <c r="D28" s="14"/>
      <c r="E28" s="2" t="s">
        <v>104</v>
      </c>
      <c r="F28" s="3" t="s">
        <v>30</v>
      </c>
      <c r="G28" s="5" t="s">
        <v>43</v>
      </c>
      <c r="H28" s="18" t="s">
        <v>45</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105</v>
      </c>
      <c r="R28" s="29"/>
      <c r="T28" s="2" t="s">
        <v>134</v>
      </c>
    </row>
    <row r="29" spans="1:20" x14ac:dyDescent="0.25">
      <c r="A29" s="34"/>
      <c r="D29" s="14"/>
      <c r="E29" s="2"/>
      <c r="F29" s="3"/>
      <c r="G29" s="5"/>
      <c r="H29" s="18"/>
      <c r="I29" s="14"/>
      <c r="J29" s="29"/>
      <c r="K29" s="10"/>
      <c r="M29" s="2"/>
      <c r="Q29" s="29"/>
      <c r="R29" s="3"/>
      <c r="S29" s="29"/>
      <c r="T29" s="35"/>
    </row>
    <row r="30" spans="1:20" x14ac:dyDescent="0.25">
      <c r="A30" s="34"/>
      <c r="D30" s="14"/>
      <c r="E30" s="2"/>
      <c r="F30" s="3"/>
      <c r="G30" s="5"/>
      <c r="H30" s="18"/>
      <c r="I30" s="14"/>
      <c r="J30" s="29"/>
      <c r="K30" s="10"/>
      <c r="M30" s="2"/>
      <c r="Q30" s="29"/>
      <c r="R30" s="3"/>
      <c r="S30" s="29"/>
      <c r="T30" s="35"/>
    </row>
    <row r="31" spans="1:20" x14ac:dyDescent="0.25">
      <c r="D31" s="14"/>
      <c r="K31" s="10"/>
      <c r="R31" s="3"/>
    </row>
    <row r="32" spans="1:20" x14ac:dyDescent="0.25">
      <c r="A32" s="34"/>
      <c r="D32" s="14"/>
      <c r="E32" s="11" t="s">
        <v>7</v>
      </c>
      <c r="F32" s="14" t="s">
        <v>28</v>
      </c>
      <c r="G32" s="5" t="s">
        <v>43</v>
      </c>
      <c r="H32" s="18" t="s">
        <v>40</v>
      </c>
      <c r="I32" s="14">
        <v>0</v>
      </c>
      <c r="J32" s="14">
        <v>4</v>
      </c>
      <c r="K32" s="10" t="str">
        <f xml:space="preserve"> IFERROR("0x" &amp; DEC2HEX(VLOOKUP(F32,Common!$C$10:$D$34,2,FALSE),2) &amp; DEC2HEX(I32,3) &amp; DEC2HEX(VLOOKUP(G32,Common!$C$51:$D$55,2,FALSE),1) &amp; DEC2HEX(1+2*VLOOKUP(H32,Common!$C$69:$D$72,2,FALSE),1) &amp; DEC2HEX(IFERROR(LOG(J32,2),0),1),0)</f>
        <v>0x01000112</v>
      </c>
      <c r="L32" s="10" t="str">
        <f>IF(AND(LEN(E32)&lt;&gt;0,S32=""),F32&amp;"_"&amp;UPPER(E32),"")</f>
        <v>FACT_SERIAL_NUMBER</v>
      </c>
      <c r="M32" t="s">
        <v>93</v>
      </c>
      <c r="N32" s="3"/>
      <c r="R32" s="29"/>
      <c r="T32" t="s">
        <v>83</v>
      </c>
    </row>
    <row r="33" spans="1:23" x14ac:dyDescent="0.25">
      <c r="A33" s="34"/>
      <c r="D33" s="14"/>
      <c r="E33" s="11" t="s">
        <v>20</v>
      </c>
      <c r="F33" s="14" t="s">
        <v>28</v>
      </c>
      <c r="G33" s="5" t="s">
        <v>43</v>
      </c>
      <c r="H33" s="18" t="s">
        <v>40</v>
      </c>
      <c r="I33" s="14">
        <f t="shared" ref="I33:I40" si="1" xml:space="preserve"> I32+J32</f>
        <v>4</v>
      </c>
      <c r="J33" s="14">
        <v>4</v>
      </c>
      <c r="K33" s="10" t="str">
        <f xml:space="preserve"> IFERROR("0x" &amp; DEC2HEX(VLOOKUP(F33,Common!$C$10:$D$34,2,FALSE),2) &amp; DEC2HEX(I33,3) &amp; DEC2HEX(VLOOKUP(G33,Common!$C$51:$D$55,2,FALSE),1) &amp; DEC2HEX(1+2*VLOOKUP(H33,Common!$C$69:$D$72,2,FALSE),1) &amp; DEC2HEX(IFERROR(LOG(J33,2),0),1),0)</f>
        <v>0x01004112</v>
      </c>
      <c r="L33" s="10" t="str">
        <f>IF(AND(LEN(E33)&lt;&gt;0,S33=""),F33&amp;"_"&amp;UPPER(E33),"")</f>
        <v>FACT_DEVICE_ID</v>
      </c>
      <c r="M33" t="s">
        <v>94</v>
      </c>
      <c r="N33" s="3"/>
      <c r="O33" s="10">
        <v>1</v>
      </c>
      <c r="P33" s="10">
        <v>1</v>
      </c>
      <c r="R33" s="29"/>
      <c r="T33" t="s">
        <v>135</v>
      </c>
    </row>
    <row r="34" spans="1:23" x14ac:dyDescent="0.25">
      <c r="A34" s="34"/>
      <c r="D34" s="14"/>
      <c r="E34" s="11" t="s">
        <v>13</v>
      </c>
      <c r="F34" s="14" t="s">
        <v>28</v>
      </c>
      <c r="G34" s="5" t="s">
        <v>43</v>
      </c>
      <c r="H34" s="18" t="s">
        <v>40</v>
      </c>
      <c r="I34" s="14">
        <f t="shared" si="1"/>
        <v>8</v>
      </c>
      <c r="J34" s="14">
        <v>4</v>
      </c>
      <c r="K34" s="10" t="str">
        <f xml:space="preserve"> IFERROR("0x" &amp; DEC2HEX(VLOOKUP(F34,Common!$C$10:$D$34,2,FALSE),2) &amp; DEC2HEX(I34,3) &amp; DEC2HEX(VLOOKUP(G34,Common!$C$51:$D$55,2,FALSE),1) &amp; DEC2HEX(1+2*VLOOKUP(H34,Common!$C$69:$D$72,2,FALSE),1) &amp; DEC2HEX(IFERROR(LOG(J34,2),0),1),0)</f>
        <v>0x01008112</v>
      </c>
      <c r="L34" s="10" t="str">
        <f>IF(AND(LEN(E34)&lt;&gt;0,S34=""),F34&amp;"_"&amp;UPPER(E34),"")</f>
        <v>FACT_HW_REVISION</v>
      </c>
      <c r="M34" t="s">
        <v>95</v>
      </c>
      <c r="N34" s="3"/>
      <c r="O34" s="3">
        <v>1001</v>
      </c>
      <c r="P34" s="3">
        <v>5099</v>
      </c>
      <c r="R34" s="29"/>
      <c r="T34" t="s">
        <v>129</v>
      </c>
    </row>
    <row r="35" spans="1:23" x14ac:dyDescent="0.25">
      <c r="A35" s="34"/>
      <c r="D35" s="14"/>
      <c r="E35" s="11" t="s">
        <v>32</v>
      </c>
      <c r="F35" s="14" t="s">
        <v>28</v>
      </c>
      <c r="G35" s="5" t="s">
        <v>43</v>
      </c>
      <c r="H35" s="18" t="s">
        <v>40</v>
      </c>
      <c r="I35" s="14">
        <f t="shared" si="1"/>
        <v>12</v>
      </c>
      <c r="J35" s="14">
        <v>4</v>
      </c>
      <c r="K35" s="10" t="str">
        <f xml:space="preserve"> IFERROR("0x" &amp; DEC2HEX(VLOOKUP(F35,Common!$C$10:$D$34,2,FALSE),2) &amp; DEC2HEX(I35,3) &amp; DEC2HEX(VLOOKUP(G35,Common!$C$51:$D$55,2,FALSE),1) &amp; DEC2HEX(1+2*VLOOKUP(H35,Common!$C$69:$D$72,2,FALSE),1) &amp; DEC2HEX(IFERROR(LOG(J35,2),0),1),0)</f>
        <v>0x0100C112</v>
      </c>
      <c r="L35" s="10" t="str">
        <f>IF(AND(LEN(E35)&lt;&gt;0,S35=""),F35&amp;"_"&amp;UPPER(E35),"")</f>
        <v>FACT_BOOT_REVISION</v>
      </c>
      <c r="M35" t="s">
        <v>96</v>
      </c>
      <c r="O35" s="3">
        <v>1001</v>
      </c>
      <c r="P35" s="3">
        <v>5099</v>
      </c>
      <c r="R35" s="29"/>
      <c r="T35" t="s">
        <v>84</v>
      </c>
    </row>
    <row r="36" spans="1:23" x14ac:dyDescent="0.25">
      <c r="D36" s="14"/>
      <c r="E36" s="11"/>
      <c r="F36" s="14"/>
      <c r="G36" s="5"/>
      <c r="H36" s="18"/>
      <c r="I36" s="14"/>
      <c r="J36" s="14"/>
      <c r="K36" s="10"/>
      <c r="M36"/>
      <c r="O36" s="3"/>
      <c r="P36" s="3"/>
      <c r="R36" s="29"/>
      <c r="T36"/>
    </row>
    <row r="37" spans="1:23" ht="15" customHeight="1" x14ac:dyDescent="0.25">
      <c r="A37" s="34"/>
      <c r="D37" s="15"/>
      <c r="E37" s="11" t="s">
        <v>33</v>
      </c>
      <c r="F37" s="10" t="s">
        <v>29</v>
      </c>
      <c r="G37" s="5" t="s">
        <v>43</v>
      </c>
      <c r="H37" s="18" t="s">
        <v>40</v>
      </c>
      <c r="I37" s="14">
        <v>0</v>
      </c>
      <c r="J37" s="10">
        <v>4</v>
      </c>
      <c r="K37" s="10" t="str">
        <f xml:space="preserve"> IFERROR("0x" &amp; DEC2HEX(VLOOKUP(F37,Common!$C$10:$D$34,2,FALSE),2) &amp; DEC2HEX(I37,3) &amp; DEC2HEX(VLOOKUP(G37,Common!$C$51:$D$55,2,FALSE),1) &amp; DEC2HEX(1+2*VLOOKUP(H37,Common!$C$69:$D$72,2,FALSE),1) &amp; DEC2HEX(IFERROR(LOG(J37,2),0),1),0)</f>
        <v>0x02000112</v>
      </c>
      <c r="L37" s="10" t="str">
        <f>IF(AND(LEN(E37)&lt;&gt;0,S37=""),F37&amp;"_"&amp;UPPER(E37),"")</f>
        <v>FIRM_REVISION</v>
      </c>
      <c r="M37" t="s">
        <v>133</v>
      </c>
      <c r="O37" s="29">
        <v>1</v>
      </c>
      <c r="P37" s="10">
        <v>999</v>
      </c>
      <c r="R37" s="29"/>
      <c r="T37" t="s">
        <v>85</v>
      </c>
    </row>
    <row r="38" spans="1:23" x14ac:dyDescent="0.25">
      <c r="A38" s="34"/>
      <c r="D38" s="15"/>
      <c r="E38" s="11" t="s">
        <v>10</v>
      </c>
      <c r="F38" s="10" t="s">
        <v>29</v>
      </c>
      <c r="G38" s="5" t="s">
        <v>43</v>
      </c>
      <c r="H38" s="18" t="s">
        <v>40</v>
      </c>
      <c r="I38" s="14">
        <f t="shared" si="1"/>
        <v>4</v>
      </c>
      <c r="J38" s="10">
        <v>4</v>
      </c>
      <c r="K38" s="10" t="str">
        <f xml:space="preserve"> IFERROR("0x" &amp; DEC2HEX(VLOOKUP(F38,Common!$C$10:$D$34,2,FALSE),2) &amp; DEC2HEX(I38,3) &amp; DEC2HEX(VLOOKUP(G38,Common!$C$51:$D$55,2,FALSE),1) &amp; DEC2HEX(1+2*VLOOKUP(H38,Common!$C$69:$D$72,2,FALSE),1) &amp; DEC2HEX(IFERROR(LOG(J38,2),0),1),0)</f>
        <v>0x02004112</v>
      </c>
      <c r="L38" s="10" t="str">
        <f>IF(AND(LEN(E38)&lt;&gt;0,S38=""),F38&amp;"_"&amp;UPPER(E38),"")</f>
        <v>FIRM_ASSEMBLY_INFO</v>
      </c>
      <c r="M38" t="s">
        <v>97</v>
      </c>
      <c r="O38" s="29">
        <v>20261000</v>
      </c>
      <c r="P38" s="29">
        <v>20500330</v>
      </c>
      <c r="R38" s="29"/>
      <c r="T38" t="s">
        <v>86</v>
      </c>
    </row>
    <row r="39" spans="1:23" x14ac:dyDescent="0.25">
      <c r="A39" s="34"/>
      <c r="D39" s="15"/>
      <c r="E39" s="11" t="s">
        <v>34</v>
      </c>
      <c r="F39" s="10" t="s">
        <v>29</v>
      </c>
      <c r="G39" s="5" t="s">
        <v>43</v>
      </c>
      <c r="H39" s="18" t="s">
        <v>40</v>
      </c>
      <c r="I39" s="14">
        <f t="shared" si="1"/>
        <v>8</v>
      </c>
      <c r="J39" s="10">
        <v>4</v>
      </c>
      <c r="K39" s="10" t="str">
        <f xml:space="preserve"> IFERROR("0x" &amp; DEC2HEX(VLOOKUP(F39,Common!$C$10:$D$34,2,FALSE),2) &amp; DEC2HEX(I39,3) &amp; DEC2HEX(VLOOKUP(G39,Common!$C$51:$D$55,2,FALSE),1) &amp; DEC2HEX(1+2*VLOOKUP(H39,Common!$C$69:$D$72,2,FALSE),1) &amp; DEC2HEX(IFERROR(LOG(J39,2),0),1),0)</f>
        <v>0x02008112</v>
      </c>
      <c r="L39" s="10" t="str">
        <f>IF(AND(LEN(E39)&lt;&gt;0,S39=""),F39&amp;"_"&amp;UPPER(E39),"")</f>
        <v>FIRM_APP_CHECKSUM</v>
      </c>
      <c r="M39" t="s">
        <v>98</v>
      </c>
      <c r="R39" s="29"/>
      <c r="T39" t="s">
        <v>38</v>
      </c>
    </row>
    <row r="40" spans="1:23" x14ac:dyDescent="0.25">
      <c r="A40" s="34"/>
      <c r="D40" s="15"/>
      <c r="E40" s="11" t="s">
        <v>35</v>
      </c>
      <c r="F40" s="10" t="s">
        <v>29</v>
      </c>
      <c r="G40" s="5" t="s">
        <v>43</v>
      </c>
      <c r="H40" s="18" t="s">
        <v>40</v>
      </c>
      <c r="I40" s="14">
        <f t="shared" si="1"/>
        <v>12</v>
      </c>
      <c r="J40" s="10">
        <v>4</v>
      </c>
      <c r="K40" s="10" t="str">
        <f xml:space="preserve"> IFERROR("0x" &amp; DEC2HEX(VLOOKUP(F40,Common!$C$10:$D$34,2,FALSE),2) &amp; DEC2HEX(I40,3) &amp; DEC2HEX(VLOOKUP(G40,Common!$C$51:$D$55,2,FALSE),1) &amp; DEC2HEX(1+2*VLOOKUP(H40,Common!$C$69:$D$72,2,FALSE),1) &amp; DEC2HEX(IFERROR(LOG(J40,2),0),1),0)</f>
        <v>0x0200C112</v>
      </c>
      <c r="L40" s="10" t="str">
        <f>IF(AND(LEN(E40)&lt;&gt;0,S40=""),F40&amp;"_"&amp;UPPER(E40),"")</f>
        <v>FIRM_APP_SIZE</v>
      </c>
      <c r="M40" t="s">
        <v>99</v>
      </c>
      <c r="O40" s="10">
        <v>10000</v>
      </c>
      <c r="P40" s="10">
        <v>32000</v>
      </c>
      <c r="R40" s="29"/>
      <c r="T40" t="s">
        <v>87</v>
      </c>
    </row>
    <row r="41" spans="1:23" x14ac:dyDescent="0.25">
      <c r="D41" s="15"/>
      <c r="E41" s="2"/>
      <c r="F41" s="5"/>
      <c r="G41" s="5"/>
      <c r="H41" s="18"/>
      <c r="I41" s="14"/>
      <c r="J41" s="14"/>
      <c r="K41" s="10"/>
      <c r="L41" s="3"/>
      <c r="M41"/>
      <c r="R41" s="29"/>
      <c r="T41"/>
    </row>
    <row r="42" spans="1:23" s="34" customFormat="1" x14ac:dyDescent="0.25">
      <c r="B42" s="12"/>
      <c r="C42" s="12"/>
      <c r="D42"/>
      <c r="E42"/>
      <c r="F42" s="3"/>
      <c r="G42" s="3"/>
      <c r="H42" s="3"/>
      <c r="I42" s="33"/>
      <c r="J42" s="29"/>
      <c r="K42" s="29"/>
      <c r="L42" s="29"/>
      <c r="M42" s="21"/>
      <c r="N42" s="29"/>
      <c r="O42" s="3"/>
      <c r="P42" s="3"/>
      <c r="Q42" s="3"/>
      <c r="R42" s="3"/>
      <c r="S42"/>
      <c r="T42"/>
      <c r="U42"/>
      <c r="V42"/>
      <c r="W42"/>
    </row>
    <row r="43" spans="1:23" s="34" customFormat="1" x14ac:dyDescent="0.25">
      <c r="D43" s="39"/>
      <c r="E43" s="2" t="s">
        <v>150</v>
      </c>
      <c r="F43" s="5" t="s">
        <v>143</v>
      </c>
      <c r="G43" s="3" t="s">
        <v>74</v>
      </c>
      <c r="H43" s="18" t="s">
        <v>42</v>
      </c>
      <c r="I43" s="33">
        <f t="shared" ref="I43:I59" si="2" xml:space="preserve"> I42+J42</f>
        <v>0</v>
      </c>
      <c r="J43" s="29">
        <v>1</v>
      </c>
      <c r="K43" s="10" t="str">
        <f xml:space="preserve"> IFERROR("0x" &amp; DEC2HEX(VLOOKUP(F43,Common!$C$10:$D$34,2,FALSE),2) &amp; DEC2HEX(I43,3) &amp; DEC2HEX(VLOOKUP(G43,Common!$C$51:$D$55,2,FALSE),1) &amp; DEC2HEX(1+2*VLOOKUP(H43,Common!$C$69:$D$72,2,FALSE),1) &amp; DEC2HEX(IFERROR(LOG(J43,2),0),1),0)</f>
        <v>0x03000570</v>
      </c>
      <c r="L43" s="29" t="str">
        <f t="shared" ref="L43" si="3">IF(AND(LEN(E43)&lt;&gt;0,S43=""),F43&amp;"_"&amp;UPPER(E43),"")</f>
        <v>COM_MB_BAUD_RATE</v>
      </c>
      <c r="M43" t="s">
        <v>151</v>
      </c>
      <c r="N43" s="29">
        <v>1</v>
      </c>
      <c r="O43" s="29">
        <v>0</v>
      </c>
      <c r="P43" s="29">
        <v>4</v>
      </c>
      <c r="Q43" s="29"/>
      <c r="R43" s="29"/>
      <c r="S43" s="29"/>
      <c r="T43" t="s">
        <v>152</v>
      </c>
    </row>
    <row r="44" spans="1:23" s="34" customFormat="1" x14ac:dyDescent="0.25">
      <c r="D44" s="39"/>
      <c r="F44" s="5" t="s">
        <v>143</v>
      </c>
      <c r="G44" s="29"/>
      <c r="H44" s="29"/>
      <c r="I44" s="33">
        <f t="shared" si="2"/>
        <v>1</v>
      </c>
      <c r="J44" s="29"/>
      <c r="K44" s="10">
        <f xml:space="preserve"> IFERROR("0x" &amp; DEC2HEX(VLOOKUP(F44,Common!$C$10:$D$34,2,FALSE),2) &amp; DEC2HEX(I44,3) &amp; DEC2HEX(VLOOKUP(G44,Common!$C$51:$D$55,2,FALSE),1) &amp; DEC2HEX(1+2*VLOOKUP(H44,Common!$C$69:$D$72,2,FALSE),1) &amp; DEC2HEX(IFERROR(LOG(J44,2),0),1),0)</f>
        <v>0</v>
      </c>
      <c r="L44" s="3" t="s">
        <v>153</v>
      </c>
      <c r="M44" s="40">
        <v>9600</v>
      </c>
      <c r="N44" s="29"/>
      <c r="O44" s="29"/>
      <c r="P44" s="29"/>
      <c r="Q44" s="29"/>
      <c r="R44" s="29"/>
      <c r="S44" s="29"/>
      <c r="T44" t="s">
        <v>154</v>
      </c>
    </row>
    <row r="45" spans="1:23" s="34" customFormat="1" x14ac:dyDescent="0.25">
      <c r="D45" s="39"/>
      <c r="F45" s="5" t="s">
        <v>143</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155</v>
      </c>
      <c r="M45" s="40">
        <v>19200</v>
      </c>
      <c r="N45" s="29"/>
      <c r="O45" s="29"/>
      <c r="P45" s="29"/>
      <c r="Q45" s="29"/>
      <c r="R45" s="29"/>
      <c r="S45" s="29"/>
      <c r="T45" t="s">
        <v>156</v>
      </c>
    </row>
    <row r="46" spans="1:23" s="34" customFormat="1" x14ac:dyDescent="0.25">
      <c r="D46" s="39"/>
      <c r="F46" s="5" t="s">
        <v>143</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157</v>
      </c>
      <c r="M46" s="40">
        <v>38400</v>
      </c>
      <c r="N46" s="29"/>
      <c r="O46" s="29"/>
      <c r="P46" s="29"/>
      <c r="Q46" s="29"/>
      <c r="R46" s="29"/>
      <c r="S46" s="29"/>
      <c r="T46" t="s">
        <v>158</v>
      </c>
    </row>
    <row r="47" spans="1:23" s="34" customFormat="1" x14ac:dyDescent="0.25">
      <c r="D47" s="39"/>
      <c r="F47" s="5" t="s">
        <v>143</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159</v>
      </c>
      <c r="M47" s="40">
        <v>57600</v>
      </c>
      <c r="N47" s="29"/>
      <c r="O47" s="29"/>
      <c r="P47" s="29"/>
      <c r="Q47" s="29"/>
      <c r="R47" s="29"/>
      <c r="S47" s="29"/>
      <c r="T47" t="s">
        <v>160</v>
      </c>
    </row>
    <row r="48" spans="1:23" s="34" customFormat="1" x14ac:dyDescent="0.25">
      <c r="D48" s="39"/>
      <c r="F48" s="5" t="s">
        <v>143</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161</v>
      </c>
      <c r="M48" s="40">
        <v>115200</v>
      </c>
      <c r="N48" s="29"/>
      <c r="O48" s="29"/>
      <c r="P48" s="29"/>
      <c r="Q48" s="29"/>
      <c r="R48" s="29"/>
      <c r="S48" s="29"/>
      <c r="T48" t="s">
        <v>162</v>
      </c>
    </row>
    <row r="49" spans="4:20" s="34" customFormat="1" x14ac:dyDescent="0.25">
      <c r="D49" s="39"/>
      <c r="E49" t="s">
        <v>163</v>
      </c>
      <c r="F49" s="5" t="s">
        <v>143</v>
      </c>
      <c r="G49" s="3" t="s">
        <v>74</v>
      </c>
      <c r="H49" s="3" t="s">
        <v>42</v>
      </c>
      <c r="I49" s="33">
        <f t="shared" si="2"/>
        <v>1</v>
      </c>
      <c r="J49" s="29">
        <v>1</v>
      </c>
      <c r="K49" s="10" t="str">
        <f xml:space="preserve"> IFERROR("0x" &amp; DEC2HEX(VLOOKUP(F49,Common!$C$10:$D$34,2,FALSE),2) &amp; DEC2HEX(I49,3) &amp; DEC2HEX(VLOOKUP(G49,Common!$C$51:$D$55,2,FALSE),1) &amp; DEC2HEX(1+2*VLOOKUP(H49,Common!$C$69:$D$72,2,FALSE),1) &amp; DEC2HEX(IFERROR(LOG(J49,2),0),1),0)</f>
        <v>0x03001570</v>
      </c>
      <c r="L49" s="29" t="str">
        <f t="shared" ref="L49" si="4">IF(AND(LEN(E49)&lt;&gt;0,S49=""),F49&amp;"_"&amp;UPPER(E49),"")</f>
        <v>COM_MB_PARITY</v>
      </c>
      <c r="M49" s="40" t="s">
        <v>164</v>
      </c>
      <c r="N49" s="29">
        <v>1</v>
      </c>
      <c r="O49" s="29">
        <v>0</v>
      </c>
      <c r="P49" s="29">
        <v>2</v>
      </c>
      <c r="Q49" s="29"/>
      <c r="R49" s="29"/>
      <c r="S49" s="29"/>
      <c r="T49" t="s">
        <v>165</v>
      </c>
    </row>
    <row r="50" spans="4:20" s="34" customFormat="1" x14ac:dyDescent="0.25">
      <c r="D50" s="39"/>
      <c r="F50" s="5" t="s">
        <v>143</v>
      </c>
      <c r="G50" s="29"/>
      <c r="H50" s="29"/>
      <c r="I50" s="33">
        <f t="shared" si="2"/>
        <v>2</v>
      </c>
      <c r="J50" s="29"/>
      <c r="K50" s="10">
        <f xml:space="preserve"> IFERROR("0x" &amp; DEC2HEX(VLOOKUP(F50,Common!$C$10:$D$34,2,FALSE),2) &amp; DEC2HEX(I50,3) &amp; DEC2HEX(VLOOKUP(G50,Common!$C$51:$D$55,2,FALSE),1) &amp; DEC2HEX(1+2*VLOOKUP(H50,Common!$C$69:$D$72,2,FALSE),1) &amp; DEC2HEX(IFERROR(LOG(J50,2),0),1),0)</f>
        <v>0</v>
      </c>
      <c r="L50" s="3" t="s">
        <v>166</v>
      </c>
      <c r="M50" s="40" t="s">
        <v>167</v>
      </c>
      <c r="N50" s="29"/>
      <c r="O50" s="29"/>
      <c r="P50" s="29"/>
      <c r="Q50" s="29"/>
      <c r="R50" s="29"/>
      <c r="S50" s="29"/>
      <c r="T50" t="s">
        <v>168</v>
      </c>
    </row>
    <row r="51" spans="4:20" s="34" customFormat="1" x14ac:dyDescent="0.25">
      <c r="D51" s="39"/>
      <c r="F51" s="5" t="s">
        <v>143</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169</v>
      </c>
      <c r="M51" t="s">
        <v>170</v>
      </c>
      <c r="N51" s="29"/>
      <c r="O51" s="29"/>
      <c r="P51" s="29"/>
      <c r="Q51" s="29"/>
      <c r="R51" s="29"/>
      <c r="S51" s="29"/>
      <c r="T51" t="s">
        <v>171</v>
      </c>
    </row>
    <row r="52" spans="4:20" s="34" customFormat="1" x14ac:dyDescent="0.25">
      <c r="D52" s="39"/>
      <c r="F52" s="5" t="s">
        <v>143</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172</v>
      </c>
      <c r="M52" t="s">
        <v>173</v>
      </c>
      <c r="N52" s="29"/>
      <c r="O52" s="29"/>
      <c r="P52" s="29"/>
      <c r="Q52" s="29"/>
      <c r="R52" s="29"/>
      <c r="S52" s="29"/>
      <c r="T52" t="s">
        <v>174</v>
      </c>
    </row>
    <row r="53" spans="4:20" s="34" customFormat="1" x14ac:dyDescent="0.25">
      <c r="D53" s="39"/>
      <c r="E53" t="s">
        <v>175</v>
      </c>
      <c r="F53" s="5" t="s">
        <v>143</v>
      </c>
      <c r="G53" s="3" t="s">
        <v>74</v>
      </c>
      <c r="H53" s="3" t="s">
        <v>42</v>
      </c>
      <c r="I53" s="33">
        <f t="shared" si="2"/>
        <v>2</v>
      </c>
      <c r="J53" s="29">
        <v>1</v>
      </c>
      <c r="K53" s="10" t="str">
        <f xml:space="preserve"> IFERROR("0x" &amp; DEC2HEX(VLOOKUP(F53,Common!$C$10:$D$34,2,FALSE),2) &amp; DEC2HEX(I53,3) &amp; DEC2HEX(VLOOKUP(G53,Common!$C$51:$D$55,2,FALSE),1) &amp; DEC2HEX(1+2*VLOOKUP(H53,Common!$C$69:$D$72,2,FALSE),1) &amp; DEC2HEX(IFERROR(LOG(J53,2),0),1),0)</f>
        <v>0x03002570</v>
      </c>
      <c r="L53" s="29" t="str">
        <f t="shared" ref="L53" si="5">IF(AND(LEN(E53)&lt;&gt;0,S53=""),F53&amp;"_"&amp;UPPER(E53),"")</f>
        <v>COM_MB_STOP_BITS</v>
      </c>
      <c r="M53" t="s">
        <v>176</v>
      </c>
      <c r="N53" s="29">
        <v>0</v>
      </c>
      <c r="O53" s="29">
        <v>0</v>
      </c>
      <c r="P53" s="29">
        <v>1</v>
      </c>
      <c r="Q53" s="29"/>
      <c r="R53" s="29"/>
      <c r="S53" s="29"/>
      <c r="T53" t="s">
        <v>177</v>
      </c>
    </row>
    <row r="54" spans="4:20" s="34" customFormat="1" x14ac:dyDescent="0.25">
      <c r="D54" s="39"/>
      <c r="F54" s="5" t="s">
        <v>143</v>
      </c>
      <c r="G54" s="29"/>
      <c r="H54" s="29"/>
      <c r="I54" s="33">
        <f t="shared" si="2"/>
        <v>3</v>
      </c>
      <c r="J54" s="29"/>
      <c r="K54" s="10">
        <f xml:space="preserve"> IFERROR("0x" &amp; DEC2HEX(VLOOKUP(F54,Common!$C$10:$D$34,2,FALSE),2) &amp; DEC2HEX(I54,3) &amp; DEC2HEX(VLOOKUP(G54,Common!$C$51:$D$55,2,FALSE),1) &amp; DEC2HEX(1+2*VLOOKUP(H54,Common!$C$69:$D$72,2,FALSE),1) &amp; DEC2HEX(IFERROR(LOG(J54,2),0),1),0)</f>
        <v>0</v>
      </c>
      <c r="L54" s="3" t="s">
        <v>178</v>
      </c>
      <c r="M54" t="s">
        <v>179</v>
      </c>
      <c r="N54" s="29"/>
      <c r="O54" s="29"/>
      <c r="P54" s="29"/>
      <c r="Q54" s="29"/>
      <c r="R54" s="29"/>
      <c r="S54" s="29"/>
      <c r="T54" t="s">
        <v>179</v>
      </c>
    </row>
    <row r="55" spans="4:20" s="34" customFormat="1" x14ac:dyDescent="0.25">
      <c r="D55" s="39"/>
      <c r="F55" s="5" t="s">
        <v>143</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180</v>
      </c>
      <c r="M55" t="s">
        <v>181</v>
      </c>
      <c r="N55" s="29"/>
      <c r="O55" s="29"/>
      <c r="P55" s="29"/>
      <c r="Q55" s="29"/>
      <c r="R55" s="29"/>
      <c r="S55" s="29"/>
      <c r="T55" t="s">
        <v>181</v>
      </c>
    </row>
    <row r="56" spans="4:20" s="34" customFormat="1" x14ac:dyDescent="0.25">
      <c r="D56" s="39"/>
      <c r="E56" t="s">
        <v>182</v>
      </c>
      <c r="F56" s="5" t="s">
        <v>143</v>
      </c>
      <c r="G56" s="3" t="s">
        <v>43</v>
      </c>
      <c r="H56" s="3" t="s">
        <v>45</v>
      </c>
      <c r="I56" s="33">
        <f t="shared" si="2"/>
        <v>3</v>
      </c>
      <c r="J56" s="29">
        <v>1</v>
      </c>
      <c r="K56" s="10" t="str">
        <f xml:space="preserve"> IFERROR("0x" &amp; DEC2HEX(VLOOKUP(F56,Common!$C$10:$D$34,2,FALSE),2) &amp; DEC2HEX(I56,3) &amp; DEC2HEX(VLOOKUP(G56,Common!$C$51:$D$55,2,FALSE),1) &amp; DEC2HEX(1+2*VLOOKUP(H56,Common!$C$69:$D$72,2,FALSE),1) &amp; DEC2HEX(IFERROR(LOG(J56,2),0),1),0)</f>
        <v>0x03003150</v>
      </c>
      <c r="L56" s="29" t="str">
        <f t="shared" ref="L56:L59" si="6">IF(AND(LEN(E56)&lt;&gt;0,S56=""),F56&amp;"_"&amp;UPPER(E56),"")</f>
        <v>COM_RESERVED</v>
      </c>
      <c r="M56"/>
      <c r="N56" s="29"/>
      <c r="O56" s="29"/>
      <c r="P56" s="29"/>
      <c r="Q56" s="29"/>
      <c r="R56" s="3" t="s">
        <v>183</v>
      </c>
      <c r="S56" s="29"/>
      <c r="T56"/>
    </row>
    <row r="57" spans="4:20" s="34" customFormat="1" x14ac:dyDescent="0.25">
      <c r="D57" s="39"/>
      <c r="E57" t="s">
        <v>184</v>
      </c>
      <c r="F57" s="5" t="s">
        <v>143</v>
      </c>
      <c r="G57" s="3" t="s">
        <v>43</v>
      </c>
      <c r="H57" s="3" t="s">
        <v>40</v>
      </c>
      <c r="I57" s="33">
        <f t="shared" si="2"/>
        <v>4</v>
      </c>
      <c r="J57" s="29">
        <v>2</v>
      </c>
      <c r="K57" s="10" t="str">
        <f xml:space="preserve"> IFERROR("0x" &amp; DEC2HEX(VLOOKUP(F57,Common!$C$10:$D$34,2,FALSE),2) &amp; DEC2HEX(I57,3) &amp; DEC2HEX(VLOOKUP(G57,Common!$C$51:$D$55,2,FALSE),1) &amp; DEC2HEX(1+2*VLOOKUP(H57,Common!$C$69:$D$72,2,FALSE),1) &amp; DEC2HEX(IFERROR(LOG(J57,2),0),1),0)</f>
        <v>0x03004111</v>
      </c>
      <c r="L57" s="29" t="str">
        <f t="shared" si="6"/>
        <v>COM_MB_ADDRESS</v>
      </c>
      <c r="M57" t="s">
        <v>185</v>
      </c>
      <c r="N57" s="29">
        <v>32</v>
      </c>
      <c r="O57" s="29">
        <v>32</v>
      </c>
      <c r="P57" s="29">
        <v>63</v>
      </c>
      <c r="Q57" s="29"/>
      <c r="R57" s="29" t="s">
        <v>183</v>
      </c>
      <c r="S57" s="29"/>
      <c r="T57" t="s">
        <v>186</v>
      </c>
    </row>
    <row r="58" spans="4:20" s="34" customFormat="1" x14ac:dyDescent="0.25">
      <c r="D58" s="39"/>
      <c r="E58" t="s">
        <v>187</v>
      </c>
      <c r="F58" s="3" t="s">
        <v>143</v>
      </c>
      <c r="G58" s="3" t="s">
        <v>43</v>
      </c>
      <c r="H58" s="3" t="s">
        <v>45</v>
      </c>
      <c r="I58" s="33">
        <f t="shared" si="2"/>
        <v>6</v>
      </c>
      <c r="J58" s="29">
        <v>2</v>
      </c>
      <c r="K58" s="10" t="str">
        <f xml:space="preserve"> IFERROR("0x" &amp; DEC2HEX(VLOOKUP(F58,Common!$C$10:$D$34,2,FALSE),2) &amp; DEC2HEX(I58,3) &amp; DEC2HEX(VLOOKUP(G58,Common!$C$51:$D$55,2,FALSE),1) &amp; DEC2HEX(1+2*VLOOKUP(H58,Common!$C$69:$D$72,2,FALSE),1) &amp; DEC2HEX(IFERROR(LOG(J58,2),0),1),0)</f>
        <v>0x03006151</v>
      </c>
      <c r="L58" s="29" t="str">
        <f t="shared" si="6"/>
        <v>COM_MB_APPLY</v>
      </c>
      <c r="M58" t="s">
        <v>188</v>
      </c>
      <c r="N58" s="29"/>
      <c r="O58" s="29">
        <v>0</v>
      </c>
      <c r="P58" s="29">
        <v>1</v>
      </c>
      <c r="Q58" s="29"/>
      <c r="R58" s="29"/>
      <c r="S58" s="29"/>
      <c r="T58" t="s">
        <v>189</v>
      </c>
    </row>
    <row r="59" spans="4:20" s="34" customFormat="1" x14ac:dyDescent="0.25">
      <c r="D59" s="39"/>
      <c r="E59" t="s">
        <v>190</v>
      </c>
      <c r="F59" s="3" t="s">
        <v>143</v>
      </c>
      <c r="G59" s="3" t="s">
        <v>43</v>
      </c>
      <c r="H59" s="3" t="s">
        <v>42</v>
      </c>
      <c r="I59" s="33">
        <f t="shared" si="2"/>
        <v>8</v>
      </c>
      <c r="J59" s="29">
        <v>2</v>
      </c>
      <c r="K59" s="10" t="str">
        <f xml:space="preserve"> IFERROR("0x" &amp; DEC2HEX(VLOOKUP(F59,Common!$C$10:$D$34,2,FALSE),2) &amp; DEC2HEX(I59,3) &amp; DEC2HEX(VLOOKUP(G59,Common!$C$51:$D$55,2,FALSE),1) &amp; DEC2HEX(1+2*VLOOKUP(H59,Common!$C$69:$D$72,2,FALSE),1) &amp; DEC2HEX(IFERROR(LOG(J59,2),0),1),0)</f>
        <v>0x03008171</v>
      </c>
      <c r="L59" s="29" t="str">
        <f t="shared" si="6"/>
        <v>COM_MB_TIMEOUT</v>
      </c>
      <c r="M59" t="s">
        <v>148</v>
      </c>
      <c r="N59" s="29">
        <v>10</v>
      </c>
      <c r="O59" s="29">
        <v>0</v>
      </c>
      <c r="P59" s="29">
        <v>7200</v>
      </c>
      <c r="Q59" s="3" t="s">
        <v>82</v>
      </c>
      <c r="R59" s="29"/>
      <c r="S59" s="29"/>
      <c r="T59" t="s">
        <v>191</v>
      </c>
    </row>
    <row r="60" spans="4:20" s="34" customFormat="1" x14ac:dyDescent="0.25">
      <c r="D60" s="39"/>
      <c r="F60" s="29"/>
      <c r="K60" s="10"/>
      <c r="N60" s="29"/>
      <c r="O60" s="29"/>
      <c r="P60" s="29"/>
      <c r="Q60" s="29"/>
      <c r="R60" s="29"/>
    </row>
    <row r="61" spans="4:20" s="34" customFormat="1" x14ac:dyDescent="0.25">
      <c r="D61" s="39"/>
      <c r="F61" s="29"/>
      <c r="G61" s="29"/>
      <c r="H61" s="29"/>
      <c r="I61" s="29"/>
      <c r="J61" s="29"/>
      <c r="K61" s="10"/>
      <c r="L61" s="29"/>
      <c r="N61" s="29"/>
      <c r="O61" s="29"/>
      <c r="P61" s="29"/>
      <c r="Q61" s="29"/>
      <c r="R61" s="29"/>
      <c r="S61" s="29"/>
      <c r="T61"/>
    </row>
    <row r="62" spans="4:20" s="34" customFormat="1" x14ac:dyDescent="0.25">
      <c r="D62" s="39"/>
      <c r="E62" s="2" t="s">
        <v>197</v>
      </c>
      <c r="F62" s="3" t="s">
        <v>141</v>
      </c>
      <c r="G62" s="5" t="s">
        <v>43</v>
      </c>
      <c r="H62" s="18" t="s">
        <v>45</v>
      </c>
      <c r="I62" s="33">
        <v>0</v>
      </c>
      <c r="J62" s="29">
        <v>2</v>
      </c>
      <c r="K62" s="10" t="str">
        <f xml:space="preserve"> IFERROR("0x" &amp; DEC2HEX(VLOOKUP(F62,Common!$C$10:$D$34,2,FALSE),2) &amp; DEC2HEX(I62,3) &amp; DEC2HEX(VLOOKUP(G62,Common!$C$51:$D$55,2,FALSE),1) &amp; DEC2HEX(1+2*VLOOKUP(H62,Common!$C$69:$D$72,2,FALSE),1) &amp; DEC2HEX(IFERROR(LOG(J62,2),0),1),0)</f>
        <v>0x04000151</v>
      </c>
      <c r="L62" s="29" t="str">
        <f>IF(AND(LEN(E62)&lt;&gt;0,S62=""),F62&amp;"_"&amp;UPPER(E62),"")</f>
        <v>CALIB_MODE</v>
      </c>
      <c r="M62" t="s">
        <v>198</v>
      </c>
      <c r="N62" s="29">
        <v>0</v>
      </c>
      <c r="O62" s="29">
        <v>0</v>
      </c>
      <c r="P62" s="29">
        <v>24</v>
      </c>
      <c r="Q62" s="29"/>
      <c r="R62" s="29"/>
      <c r="S62" s="3"/>
      <c r="T62" t="s">
        <v>199</v>
      </c>
    </row>
    <row r="63" spans="4:20" s="34" customFormat="1" x14ac:dyDescent="0.25">
      <c r="D63" s="39"/>
      <c r="E63" s="2" t="s">
        <v>182</v>
      </c>
      <c r="F63" s="3" t="s">
        <v>141</v>
      </c>
      <c r="G63" s="5" t="s">
        <v>43</v>
      </c>
      <c r="H63" s="18" t="s">
        <v>45</v>
      </c>
      <c r="I63" s="33">
        <f xml:space="preserve"> I62+J62</f>
        <v>2</v>
      </c>
      <c r="J63" s="29">
        <v>2</v>
      </c>
      <c r="K63" s="10" t="str">
        <f xml:space="preserve"> IFERROR("0x" &amp; DEC2HEX(VLOOKUP(F63,Common!$C$10:$D$34,2,FALSE),2) &amp; DEC2HEX(I63,3) &amp; DEC2HEX(VLOOKUP(G63,Common!$C$51:$D$55,2,FALSE),1) &amp; DEC2HEX(1+2*VLOOKUP(H63,Common!$C$69:$D$72,2,FALSE),1) &amp; DEC2HEX(IFERROR(LOG(J63,2),0),1),0)</f>
        <v>0x04002151</v>
      </c>
      <c r="L63" s="29" t="str">
        <f t="shared" ref="L63" si="7">IF(AND(LEN(E63)&lt;&gt;0,S63=""),F63&amp;"_"&amp;UPPER(E63),"")</f>
        <v>CALIB_RESERVED</v>
      </c>
      <c r="M63" t="s">
        <v>61</v>
      </c>
      <c r="N63" s="29"/>
      <c r="O63" s="29"/>
      <c r="P63" s="29"/>
      <c r="Q63" s="29"/>
      <c r="R63" s="29"/>
      <c r="S63" s="3"/>
      <c r="T63" t="s">
        <v>47</v>
      </c>
    </row>
    <row r="64" spans="4:20" s="34" customFormat="1" x14ac:dyDescent="0.25">
      <c r="D64" s="39"/>
      <c r="E64"/>
      <c r="F64" s="3"/>
      <c r="G64" s="3"/>
      <c r="H64" s="3"/>
      <c r="I64" s="33"/>
      <c r="J64" s="3"/>
      <c r="K64" s="10"/>
      <c r="L64" s="29"/>
      <c r="M64"/>
      <c r="N64" s="29"/>
      <c r="O64" s="29"/>
      <c r="P64" s="29"/>
      <c r="Q64" s="3"/>
      <c r="R64" s="3"/>
      <c r="T64"/>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34" customFormat="1" x14ac:dyDescent="0.25">
      <c r="D66" s="39"/>
      <c r="E66" s="2" t="s">
        <v>192</v>
      </c>
      <c r="F66" s="3" t="s">
        <v>193</v>
      </c>
      <c r="G66" s="3" t="s">
        <v>43</v>
      </c>
      <c r="H66" s="3" t="s">
        <v>40</v>
      </c>
      <c r="I66" s="29">
        <v>0</v>
      </c>
      <c r="J66" s="29">
        <v>4</v>
      </c>
      <c r="K66" s="10" t="str">
        <f xml:space="preserve"> IFERROR("0x" &amp; DEC2HEX(VLOOKUP(F66,Common!$C$10:$D$34,2,FALSE),2) &amp; DEC2HEX(I66,3) &amp; DEC2HEX(VLOOKUP(G66,Common!$C$51:$D$55,2,FALSE),1) &amp; DEC2HEX(1+2*VLOOKUP(H66,Common!$C$69:$D$72,2,FALSE),1) &amp; DEC2HEX(IFERROR(LOG(J66,2),0),1),0)</f>
        <v>0x05000112</v>
      </c>
      <c r="L66" s="29" t="str">
        <f>IF(AND(LEN(E66)&lt;&gt;0,S66=""),F66&amp;"_"&amp;UPPER(E66),"")</f>
        <v>DBG_WRITES_CONF</v>
      </c>
      <c r="M66" t="s">
        <v>194</v>
      </c>
      <c r="N66" s="29"/>
      <c r="O66" s="29">
        <v>0</v>
      </c>
      <c r="P66" s="29">
        <v>1000000</v>
      </c>
      <c r="Q66" s="3" t="s">
        <v>195</v>
      </c>
      <c r="R66" s="29"/>
      <c r="S66" s="29"/>
      <c r="T66" t="s">
        <v>196</v>
      </c>
    </row>
    <row r="67" spans="1:35" s="10" customFormat="1" x14ac:dyDescent="0.25">
      <c r="A67" s="12"/>
      <c r="B67" s="12"/>
      <c r="C67" s="12"/>
      <c r="D67"/>
      <c r="E67" s="24"/>
      <c r="F67" s="23"/>
      <c r="G67" s="23"/>
      <c r="H67" s="26"/>
      <c r="I67" s="22"/>
      <c r="J67" s="22"/>
      <c r="K67" s="22"/>
      <c r="L67" s="22"/>
      <c r="M67" s="21"/>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c r="F68" s="23"/>
      <c r="G68" s="23"/>
      <c r="H68" s="26"/>
      <c r="I68" s="22"/>
      <c r="J68" s="22"/>
      <c r="K68" s="22"/>
      <c r="L68" s="22"/>
      <c r="M68" s="21"/>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c r="G69" s="23"/>
      <c r="H69" s="26"/>
      <c r="I69" s="22"/>
      <c r="J69" s="22"/>
      <c r="K69" s="22"/>
      <c r="L69" s="22"/>
      <c r="M69" s="21"/>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c r="G70" s="23"/>
      <c r="H70" s="26"/>
      <c r="I70" s="22"/>
      <c r="J70" s="22"/>
      <c r="K70" s="22"/>
      <c r="L70" s="22"/>
      <c r="M70" s="21"/>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c r="G71" s="23"/>
      <c r="H71" s="26"/>
      <c r="I71" s="22"/>
      <c r="J71" s="22"/>
      <c r="K71" s="22"/>
      <c r="L71" s="22"/>
      <c r="M71" s="21"/>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c r="F72" s="23"/>
      <c r="G72" s="23"/>
      <c r="H72" s="26"/>
      <c r="I72" s="22"/>
      <c r="J72" s="22"/>
      <c r="K72" s="22"/>
      <c r="L72" s="22"/>
      <c r="M72" s="21"/>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c r="F73" s="23"/>
      <c r="G73" s="23"/>
      <c r="H73" s="26"/>
      <c r="I73" s="22"/>
      <c r="J73" s="22"/>
      <c r="K73" s="22"/>
      <c r="L73" s="22"/>
      <c r="M73" s="21"/>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c r="F74" s="23"/>
      <c r="G74" s="23"/>
      <c r="H74" s="26"/>
      <c r="I74" s="22"/>
      <c r="J74" s="22"/>
      <c r="K74" s="22"/>
      <c r="L74" s="22"/>
      <c r="M74" s="21"/>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2"/>
      <c r="J75" s="22"/>
      <c r="K75" s="22"/>
      <c r="L75" s="22"/>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c r="F76" s="23"/>
      <c r="G76" s="23"/>
      <c r="H76" s="26"/>
      <c r="I76" s="22"/>
      <c r="J76" s="22"/>
      <c r="K76" s="22"/>
      <c r="L76" s="22"/>
      <c r="M76" s="21"/>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c r="F77" s="23"/>
      <c r="G77" s="23"/>
      <c r="H77" s="26"/>
      <c r="I77" s="22"/>
      <c r="J77" s="22"/>
      <c r="K77" s="22"/>
      <c r="L77" s="22"/>
      <c r="M77" s="21"/>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c r="F78" s="23"/>
      <c r="G78" s="23"/>
      <c r="H78" s="26"/>
      <c r="I78" s="22"/>
      <c r="J78" s="22"/>
      <c r="K78" s="22"/>
      <c r="L78" s="22"/>
      <c r="M78" s="21"/>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c r="F79" s="23"/>
      <c r="G79" s="23"/>
      <c r="H79" s="26"/>
      <c r="I79" s="22"/>
      <c r="J79" s="22"/>
      <c r="K79" s="22"/>
      <c r="L79" s="22"/>
      <c r="M79" s="21"/>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c r="F80" s="23"/>
      <c r="G80" s="23"/>
      <c r="H80" s="26"/>
      <c r="I80" s="22"/>
      <c r="J80" s="22"/>
      <c r="K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2"/>
      <c r="H90" s="25"/>
      <c r="I90" s="22"/>
      <c r="J90" s="22"/>
      <c r="K90" s="22"/>
      <c r="L90" s="22"/>
      <c r="M90" s="24"/>
      <c r="N90" s="22"/>
      <c r="O90" s="22"/>
      <c r="P90" s="22"/>
      <c r="Q90" s="22"/>
      <c r="R90" s="22"/>
      <c r="S90" s="22"/>
      <c r="T90" s="19"/>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2"/>
      <c r="H91" s="22"/>
      <c r="I91" s="22"/>
      <c r="J91" s="22"/>
      <c r="K91" s="22"/>
      <c r="L91" s="22"/>
      <c r="M91" s="21"/>
      <c r="N91" s="22"/>
      <c r="O91" s="22"/>
      <c r="P91" s="22"/>
      <c r="Q91" s="22"/>
      <c r="R91" s="22"/>
      <c r="S91" s="22"/>
      <c r="T91" s="19"/>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4"/>
      <c r="N92" s="22"/>
      <c r="O92" s="22"/>
      <c r="P92" s="22"/>
      <c r="Q92" s="22"/>
      <c r="R92" s="28"/>
      <c r="S92" s="22"/>
      <c r="T92" s="24"/>
      <c r="U92"/>
      <c r="V92"/>
      <c r="W92"/>
      <c r="X92"/>
      <c r="Y92"/>
      <c r="Z92" s="12"/>
      <c r="AA92" s="12"/>
      <c r="AB92" s="12"/>
      <c r="AC92" s="12"/>
      <c r="AD92" s="12"/>
      <c r="AE92" s="12"/>
      <c r="AF92" s="12"/>
      <c r="AG92" s="12"/>
      <c r="AH92" s="12"/>
      <c r="AI92" s="12"/>
    </row>
    <row r="93" spans="1:35" s="10" customFormat="1" x14ac:dyDescent="0.25">
      <c r="A93" s="12"/>
      <c r="B93" s="12"/>
      <c r="C93" s="12"/>
      <c r="D93"/>
      <c r="E93" s="19"/>
      <c r="F93" s="23"/>
      <c r="G93" s="22"/>
      <c r="H93" s="22"/>
      <c r="I93" s="22"/>
      <c r="J93" s="22"/>
      <c r="K93" s="22"/>
      <c r="L93" s="23"/>
      <c r="M93" s="24"/>
      <c r="N93" s="22"/>
      <c r="O93" s="22"/>
      <c r="P93" s="22"/>
      <c r="Q93" s="22"/>
      <c r="R93" s="28"/>
      <c r="S93" s="22"/>
      <c r="T93" s="24"/>
      <c r="U93"/>
      <c r="V93"/>
      <c r="W93"/>
      <c r="X93"/>
      <c r="Y93"/>
      <c r="Z93" s="12"/>
      <c r="AA93" s="12"/>
      <c r="AB93" s="12"/>
      <c r="AC93" s="12"/>
      <c r="AD93" s="12"/>
      <c r="AE93" s="12"/>
      <c r="AF93" s="12"/>
      <c r="AG93" s="12"/>
      <c r="AH93" s="12"/>
      <c r="AI93" s="12"/>
    </row>
    <row r="94" spans="1:35" s="10" customFormat="1" x14ac:dyDescent="0.25">
      <c r="A94" s="12"/>
      <c r="B94" s="12"/>
      <c r="C94" s="12"/>
      <c r="D94"/>
      <c r="E94" s="19"/>
      <c r="F94" s="23"/>
      <c r="G94" s="22"/>
      <c r="H94" s="25"/>
      <c r="I94" s="22"/>
      <c r="J94" s="22"/>
      <c r="K94" s="22"/>
      <c r="L94" s="23"/>
      <c r="M94" s="24"/>
      <c r="N94" s="22"/>
      <c r="O94" s="22"/>
      <c r="P94" s="22"/>
      <c r="Q94" s="22"/>
      <c r="R94" s="28"/>
      <c r="S94" s="22"/>
      <c r="T94" s="24"/>
      <c r="U94"/>
      <c r="V94"/>
      <c r="W94"/>
      <c r="X94"/>
      <c r="Y94"/>
      <c r="Z94" s="12"/>
      <c r="AA94" s="12"/>
      <c r="AB94" s="12"/>
      <c r="AC94" s="12"/>
      <c r="AD94" s="12"/>
      <c r="AE94" s="12"/>
      <c r="AF94" s="12"/>
      <c r="AG94" s="12"/>
      <c r="AH94" s="12"/>
      <c r="AI94" s="12"/>
    </row>
    <row r="95" spans="1:35" s="10" customFormat="1" x14ac:dyDescent="0.25">
      <c r="A95" s="12"/>
      <c r="B95" s="12"/>
      <c r="C95" s="12"/>
      <c r="D95"/>
      <c r="E95" s="19"/>
      <c r="F95" s="23"/>
      <c r="G95" s="22"/>
      <c r="H95" s="22"/>
      <c r="I95" s="22"/>
      <c r="J95" s="22"/>
      <c r="K95" s="22"/>
      <c r="L95" s="23"/>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4"/>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3"/>
      <c r="I97" s="22"/>
      <c r="J97" s="22"/>
      <c r="K97" s="22"/>
      <c r="L97" s="22"/>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2"/>
      <c r="I99" s="22"/>
      <c r="J99" s="22"/>
      <c r="K99" s="22"/>
      <c r="L99" s="23"/>
      <c r="M99" s="21"/>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1"/>
      <c r="F100" s="23"/>
      <c r="G100" s="23"/>
      <c r="H100" s="23"/>
      <c r="I100" s="22"/>
      <c r="J100" s="22"/>
      <c r="K100" s="22"/>
      <c r="L100" s="22"/>
      <c r="M100" s="21"/>
      <c r="N100" s="22"/>
      <c r="O100" s="22"/>
      <c r="P100" s="22"/>
      <c r="Q100" s="22"/>
      <c r="R100" s="22"/>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3"/>
      <c r="I101" s="22"/>
      <c r="J101" s="22"/>
      <c r="K101" s="22"/>
      <c r="L101" s="23"/>
      <c r="M101" s="21"/>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3"/>
      <c r="I102" s="22"/>
      <c r="J102" s="22"/>
      <c r="K102" s="22"/>
      <c r="L102" s="23"/>
      <c r="M102" s="21"/>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3"/>
      <c r="I103" s="22"/>
      <c r="J103" s="22"/>
      <c r="K103" s="22"/>
      <c r="L103" s="22"/>
      <c r="M103" s="21"/>
      <c r="N103" s="22"/>
      <c r="O103" s="22"/>
      <c r="P103" s="22"/>
      <c r="Q103" s="22"/>
      <c r="R103" s="28"/>
      <c r="S103" s="22"/>
      <c r="T103" s="24"/>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30"/>
      <c r="N104" s="22"/>
      <c r="O104" s="22"/>
      <c r="P104" s="22"/>
      <c r="Q104" s="23"/>
      <c r="R104" s="23"/>
      <c r="S104" s="22"/>
      <c r="T104" s="27"/>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4"/>
      <c r="N105" s="22"/>
      <c r="O105" s="22"/>
      <c r="P105" s="22"/>
      <c r="Q105" s="23"/>
      <c r="R105" s="23"/>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4"/>
      <c r="N106" s="22"/>
      <c r="O106" s="22"/>
      <c r="P106" s="22"/>
      <c r="Q106" s="23"/>
      <c r="R106" s="23"/>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24"/>
      <c r="N107" s="22"/>
      <c r="O107" s="22"/>
      <c r="P107" s="22"/>
      <c r="Q107" s="23"/>
      <c r="R107" s="23"/>
      <c r="S107" s="22"/>
      <c r="T107" s="24"/>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3"/>
      <c r="R108" s="23"/>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3"/>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2"/>
      <c r="R123" s="28"/>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1"/>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1"/>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1"/>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1"/>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2"/>
      <c r="F130" s="22"/>
      <c r="G130" s="22"/>
      <c r="H130" s="22"/>
      <c r="I130" s="22"/>
      <c r="J130" s="22"/>
      <c r="K130" s="22"/>
      <c r="L130" s="22"/>
      <c r="M130" s="22"/>
      <c r="N130" s="22"/>
      <c r="O130" s="22"/>
      <c r="P130" s="22"/>
      <c r="Q130" s="22"/>
      <c r="R130" s="28"/>
      <c r="S130" s="22"/>
      <c r="T130" s="22"/>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s="24"/>
      <c r="F164" s="23"/>
      <c r="G164" s="22"/>
      <c r="H164" s="25"/>
      <c r="I164" s="22"/>
      <c r="J164" s="22"/>
      <c r="K164" s="22"/>
      <c r="L164" s="22"/>
      <c r="M164" s="24"/>
      <c r="N164" s="22"/>
      <c r="O164" s="22"/>
      <c r="P164" s="22"/>
      <c r="Q164" s="22"/>
      <c r="R164" s="22"/>
      <c r="S164" s="22"/>
      <c r="T164" s="19"/>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c r="F165"/>
      <c r="G165"/>
      <c r="H165"/>
      <c r="I165"/>
      <c r="J165"/>
      <c r="K165"/>
      <c r="L165"/>
      <c r="M165"/>
      <c r="N165"/>
      <c r="O165"/>
      <c r="P165"/>
      <c r="Q165"/>
      <c r="R165"/>
      <c r="S165"/>
      <c r="T165"/>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c r="F166"/>
      <c r="G166"/>
      <c r="H166"/>
      <c r="I166"/>
      <c r="J166"/>
      <c r="K166"/>
      <c r="L166"/>
      <c r="M166"/>
      <c r="N166"/>
      <c r="O166"/>
      <c r="P166"/>
      <c r="Q166"/>
      <c r="R166"/>
      <c r="S166"/>
      <c r="T166"/>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c r="F167"/>
      <c r="G167"/>
      <c r="H167"/>
      <c r="I167"/>
      <c r="J167"/>
      <c r="K167"/>
      <c r="L167"/>
      <c r="M167"/>
      <c r="N167"/>
      <c r="O167"/>
      <c r="P167"/>
      <c r="Q167"/>
      <c r="R167"/>
      <c r="S167"/>
      <c r="T167"/>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2"/>
      <c r="H177" s="22"/>
      <c r="I177" s="22"/>
      <c r="J177" s="22"/>
      <c r="K177" s="22"/>
      <c r="L177" s="22"/>
      <c r="M177" s="21"/>
      <c r="N177" s="22"/>
      <c r="O177" s="22"/>
      <c r="P177" s="22"/>
      <c r="Q177" s="22"/>
      <c r="R177" s="22"/>
      <c r="S177" s="22"/>
      <c r="T177" s="19"/>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4"/>
      <c r="N178" s="22"/>
      <c r="O178" s="22"/>
      <c r="P178" s="22"/>
      <c r="Q178" s="22"/>
      <c r="R178" s="28"/>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19"/>
      <c r="F179" s="23"/>
      <c r="G179" s="22"/>
      <c r="H179" s="22"/>
      <c r="I179" s="22"/>
      <c r="J179" s="22"/>
      <c r="K179" s="22"/>
      <c r="L179" s="23"/>
      <c r="M179" s="24"/>
      <c r="N179" s="22"/>
      <c r="O179" s="22"/>
      <c r="P179" s="22"/>
      <c r="Q179" s="22"/>
      <c r="R179" s="28"/>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19"/>
      <c r="F180" s="23"/>
      <c r="G180" s="22"/>
      <c r="H180" s="22"/>
      <c r="I180" s="22"/>
      <c r="J180" s="22"/>
      <c r="K180" s="22"/>
      <c r="L180" s="23"/>
      <c r="M180" s="24"/>
      <c r="N180" s="22"/>
      <c r="O180" s="22"/>
      <c r="P180" s="22"/>
      <c r="Q180" s="22"/>
      <c r="R180" s="28"/>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19"/>
      <c r="F181" s="23"/>
      <c r="G181" s="22"/>
      <c r="H181" s="25"/>
      <c r="I181" s="22"/>
      <c r="J181" s="22"/>
      <c r="K181" s="22"/>
      <c r="L181" s="23"/>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2"/>
      <c r="F184" s="23"/>
      <c r="G184" s="22"/>
      <c r="H184" s="22"/>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2"/>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2"/>
      <c r="F186" s="23"/>
      <c r="G186" s="22"/>
      <c r="H186" s="22"/>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4"/>
      <c r="F187" s="23"/>
      <c r="G187" s="23"/>
      <c r="H187" s="23"/>
      <c r="I187" s="22"/>
      <c r="J187" s="22"/>
      <c r="K187" s="22"/>
      <c r="L187" s="22"/>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4"/>
      <c r="F188" s="23"/>
      <c r="G188" s="23"/>
      <c r="H188" s="23"/>
      <c r="I188" s="22"/>
      <c r="J188" s="22"/>
      <c r="K188" s="22"/>
      <c r="L188" s="22"/>
      <c r="M188" s="24"/>
      <c r="N188" s="22"/>
      <c r="O188" s="22"/>
      <c r="P188" s="22"/>
      <c r="Q188" s="23"/>
      <c r="R188" s="23"/>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4"/>
      <c r="F189" s="23"/>
      <c r="G189" s="23"/>
      <c r="H189" s="23"/>
      <c r="I189" s="22"/>
      <c r="J189" s="22"/>
      <c r="K189" s="22"/>
      <c r="L189" s="22"/>
      <c r="M189" s="24"/>
      <c r="N189" s="22"/>
      <c r="O189" s="22"/>
      <c r="P189" s="22"/>
      <c r="Q189" s="23"/>
      <c r="R189" s="23"/>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6"/>
      <c r="I190" s="22"/>
      <c r="J190" s="22"/>
      <c r="K190" s="22"/>
      <c r="L190" s="22"/>
      <c r="M190" s="24"/>
      <c r="N190" s="22"/>
      <c r="O190" s="22"/>
      <c r="P190" s="22"/>
      <c r="Q190" s="23"/>
      <c r="R190" s="23"/>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6"/>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6"/>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1"/>
      <c r="N197" s="22"/>
      <c r="O197" s="22"/>
      <c r="P197" s="22"/>
      <c r="Q197" s="22"/>
      <c r="R197" s="28"/>
      <c r="S197" s="22"/>
      <c r="T197" s="20"/>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2"/>
      <c r="H198" s="22"/>
      <c r="I198" s="22"/>
      <c r="J198" s="22"/>
      <c r="K198" s="22"/>
      <c r="L198" s="22"/>
      <c r="M198" s="21"/>
      <c r="N198" s="22"/>
      <c r="O198" s="22"/>
      <c r="P198" s="22"/>
      <c r="Q198" s="22"/>
      <c r="R198" s="22"/>
      <c r="S198" s="22"/>
      <c r="T198" s="19"/>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19"/>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19"/>
      <c r="F202" s="23"/>
      <c r="G202" s="22"/>
      <c r="H202" s="25"/>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2"/>
      <c r="F205" s="23"/>
      <c r="G205" s="22"/>
      <c r="H205" s="22"/>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2"/>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2"/>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3"/>
      <c r="I208" s="22"/>
      <c r="J208" s="22"/>
      <c r="K208" s="22"/>
      <c r="L208" s="22"/>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3"/>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3"/>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1"/>
      <c r="N218" s="22"/>
      <c r="O218" s="22"/>
      <c r="P218" s="22"/>
      <c r="Q218" s="22"/>
      <c r="R218" s="28"/>
      <c r="S218" s="22"/>
      <c r="T218" s="20"/>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2"/>
      <c r="H219" s="22"/>
      <c r="I219" s="22"/>
      <c r="J219" s="22"/>
      <c r="K219" s="22"/>
      <c r="L219" s="22"/>
      <c r="M219" s="21"/>
      <c r="N219" s="22"/>
      <c r="O219" s="22"/>
      <c r="P219" s="22"/>
      <c r="Q219" s="22"/>
      <c r="R219" s="22"/>
      <c r="S219" s="22"/>
      <c r="T219" s="19"/>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19"/>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19"/>
      <c r="F223" s="23"/>
      <c r="G223" s="22"/>
      <c r="H223" s="25"/>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2"/>
      <c r="F226" s="23"/>
      <c r="G226" s="22"/>
      <c r="H226" s="22"/>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2"/>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2"/>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3"/>
      <c r="I229" s="22"/>
      <c r="J229" s="22"/>
      <c r="K229" s="22"/>
      <c r="L229" s="22"/>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3"/>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3"/>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1"/>
      <c r="N239" s="22"/>
      <c r="O239" s="22"/>
      <c r="P239" s="22"/>
      <c r="Q239" s="22"/>
      <c r="R239" s="28"/>
      <c r="S239" s="22"/>
      <c r="T239" s="20"/>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2"/>
      <c r="H240" s="22"/>
      <c r="I240" s="22"/>
      <c r="J240" s="22"/>
      <c r="K240" s="22"/>
      <c r="L240" s="22"/>
      <c r="M240" s="21"/>
      <c r="N240" s="22"/>
      <c r="O240" s="22"/>
      <c r="P240" s="22"/>
      <c r="Q240" s="22"/>
      <c r="R240" s="22"/>
      <c r="S240" s="22"/>
      <c r="T240" s="19"/>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19"/>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19"/>
      <c r="F244" s="23"/>
      <c r="G244" s="22"/>
      <c r="H244" s="25"/>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2"/>
      <c r="F247" s="23"/>
      <c r="G247" s="22"/>
      <c r="H247" s="22"/>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2"/>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2"/>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3"/>
      <c r="I250" s="22"/>
      <c r="J250" s="22"/>
      <c r="K250" s="22"/>
      <c r="L250" s="22"/>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3"/>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3"/>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1"/>
      <c r="N260" s="22"/>
      <c r="O260" s="22"/>
      <c r="P260" s="22"/>
      <c r="Q260" s="22"/>
      <c r="R260" s="28"/>
      <c r="S260" s="22"/>
      <c r="T260" s="2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s="1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s="12"/>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s="12"/>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s="12"/>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s="12"/>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s="15"/>
      <c r="E453"/>
      <c r="F453"/>
      <c r="G453" s="3"/>
      <c r="H453" s="3"/>
      <c r="I453" s="3"/>
      <c r="J453" s="3"/>
      <c r="K453"/>
      <c r="L453"/>
      <c r="M453"/>
      <c r="N453" s="3"/>
      <c r="O453" s="3"/>
      <c r="P453" s="3"/>
      <c r="Q453" s="3"/>
      <c r="R453" s="3"/>
      <c r="S453"/>
      <c r="T453"/>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5"/>
      <c r="E454"/>
      <c r="F454"/>
      <c r="G454" s="3"/>
      <c r="H454" s="3"/>
      <c r="I454" s="3"/>
      <c r="J454" s="3"/>
      <c r="K454"/>
      <c r="L454"/>
      <c r="M454"/>
      <c r="N454" s="3"/>
      <c r="O454" s="3"/>
      <c r="P454" s="3"/>
      <c r="Q454" s="3"/>
      <c r="R454" s="3"/>
      <c r="S454"/>
      <c r="T454"/>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5"/>
      <c r="E455"/>
      <c r="F455"/>
      <c r="G455" s="3"/>
      <c r="H455" s="3"/>
      <c r="I455" s="3"/>
      <c r="J455" s="3"/>
      <c r="K455"/>
      <c r="L455"/>
      <c r="M455"/>
      <c r="N455" s="3"/>
      <c r="O455" s="3"/>
      <c r="P455" s="3"/>
      <c r="Q455" s="3"/>
      <c r="R455" s="3"/>
      <c r="S455"/>
      <c r="T455"/>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c r="F456"/>
      <c r="G456" s="3"/>
      <c r="H456" s="3"/>
      <c r="I456" s="3"/>
      <c r="J456" s="3"/>
      <c r="K456"/>
      <c r="L456"/>
      <c r="M456"/>
      <c r="N456" s="3"/>
      <c r="O456" s="3"/>
      <c r="P456" s="3"/>
      <c r="Q456" s="3"/>
      <c r="R456" s="3"/>
      <c r="S456"/>
      <c r="T456"/>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c r="F457"/>
      <c r="G457" s="3"/>
      <c r="H457" s="3"/>
      <c r="I457" s="3"/>
      <c r="J457" s="3"/>
      <c r="K457"/>
      <c r="L457"/>
      <c r="M457"/>
      <c r="N457" s="3"/>
      <c r="O457" s="3"/>
      <c r="P457" s="3"/>
      <c r="Q457" s="3"/>
      <c r="R457" s="3"/>
      <c r="S457"/>
      <c r="T457"/>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11"/>
  <sheetViews>
    <sheetView workbookViewId="0">
      <selection activeCell="E89" sqref="E89"/>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27</v>
      </c>
      <c r="D10" s="4" t="s">
        <v>3</v>
      </c>
      <c r="E10" s="4" t="s">
        <v>2</v>
      </c>
      <c r="F10" s="4" t="s">
        <v>4</v>
      </c>
    </row>
    <row r="11" spans="3:6" x14ac:dyDescent="0.25">
      <c r="C11" t="s">
        <v>30</v>
      </c>
      <c r="D11" s="3">
        <v>0</v>
      </c>
      <c r="E11" t="s">
        <v>21</v>
      </c>
      <c r="F11" t="s">
        <v>24</v>
      </c>
    </row>
    <row r="12" spans="3:6" x14ac:dyDescent="0.25">
      <c r="C12" t="s">
        <v>28</v>
      </c>
      <c r="D12" s="3">
        <v>1</v>
      </c>
      <c r="E12" t="s">
        <v>22</v>
      </c>
      <c r="F12" t="s">
        <v>25</v>
      </c>
    </row>
    <row r="13" spans="3:6" x14ac:dyDescent="0.25">
      <c r="C13" t="s">
        <v>29</v>
      </c>
      <c r="D13" s="3">
        <v>2</v>
      </c>
      <c r="E13" t="s">
        <v>23</v>
      </c>
      <c r="F13" t="s">
        <v>26</v>
      </c>
    </row>
    <row r="14" spans="3:6" x14ac:dyDescent="0.25">
      <c r="C14" t="s">
        <v>143</v>
      </c>
      <c r="D14" s="3">
        <v>3</v>
      </c>
      <c r="E14" t="s">
        <v>144</v>
      </c>
      <c r="F14" t="s">
        <v>145</v>
      </c>
    </row>
    <row r="15" spans="3:6" x14ac:dyDescent="0.25">
      <c r="C15" t="s">
        <v>141</v>
      </c>
      <c r="D15" s="3">
        <v>4</v>
      </c>
      <c r="E15" t="s">
        <v>142</v>
      </c>
      <c r="F15" t="s">
        <v>146</v>
      </c>
    </row>
    <row r="16" spans="3:6" x14ac:dyDescent="0.25">
      <c r="C16" t="s">
        <v>193</v>
      </c>
      <c r="D16" s="3">
        <v>5</v>
      </c>
      <c r="E16" t="s">
        <v>59</v>
      </c>
      <c r="F16" t="s">
        <v>200</v>
      </c>
    </row>
    <row r="17" spans="3:4" x14ac:dyDescent="0.25">
      <c r="D17" s="3">
        <v>6</v>
      </c>
    </row>
    <row r="18" spans="3:4" x14ac:dyDescent="0.25">
      <c r="C18" s="2"/>
      <c r="D18" s="3">
        <v>7</v>
      </c>
    </row>
    <row r="19" spans="3:4" x14ac:dyDescent="0.25">
      <c r="C19"/>
      <c r="D19" s="3">
        <v>8</v>
      </c>
    </row>
    <row r="20" spans="3:4" x14ac:dyDescent="0.25">
      <c r="C20"/>
      <c r="D20" s="3">
        <v>9</v>
      </c>
    </row>
    <row r="21" spans="3:4" x14ac:dyDescent="0.25">
      <c r="D21" s="3">
        <v>10</v>
      </c>
    </row>
    <row r="22" spans="3:4" x14ac:dyDescent="0.25">
      <c r="D22" s="3">
        <v>11</v>
      </c>
    </row>
    <row r="23" spans="3:4" x14ac:dyDescent="0.25">
      <c r="C23"/>
      <c r="D23" s="3">
        <v>12</v>
      </c>
    </row>
    <row r="24" spans="3:4" x14ac:dyDescent="0.25">
      <c r="C24" s="2"/>
      <c r="D24" s="3">
        <v>13</v>
      </c>
    </row>
    <row r="25" spans="3:4" x14ac:dyDescent="0.25">
      <c r="D25" s="3">
        <v>14</v>
      </c>
    </row>
    <row r="26" spans="3:4" x14ac:dyDescent="0.25">
      <c r="C26"/>
      <c r="D26" s="3">
        <v>15</v>
      </c>
    </row>
    <row r="27" spans="3:4" x14ac:dyDescent="0.25">
      <c r="C27"/>
      <c r="D27" s="3">
        <v>16</v>
      </c>
    </row>
    <row r="28" spans="3:4" x14ac:dyDescent="0.25">
      <c r="C28"/>
      <c r="D28" s="3">
        <v>17</v>
      </c>
    </row>
    <row r="29" spans="3:4" x14ac:dyDescent="0.25">
      <c r="C29"/>
      <c r="D29" s="3">
        <v>18</v>
      </c>
    </row>
    <row r="30" spans="3:4" x14ac:dyDescent="0.25">
      <c r="C30"/>
      <c r="D30" s="3">
        <v>19</v>
      </c>
    </row>
    <row r="31" spans="3:4" x14ac:dyDescent="0.25">
      <c r="C31"/>
      <c r="D31" s="3">
        <v>20</v>
      </c>
    </row>
    <row r="32" spans="3:4"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48</v>
      </c>
      <c r="D45" s="3"/>
    </row>
    <row r="46" spans="3:4" x14ac:dyDescent="0.25">
      <c r="D46" s="2"/>
    </row>
    <row r="47" spans="3:4" x14ac:dyDescent="0.25">
      <c r="D47" s="2"/>
    </row>
    <row r="48" spans="3:4" x14ac:dyDescent="0.25">
      <c r="D48" s="2"/>
    </row>
    <row r="49" spans="3:6" x14ac:dyDescent="0.25">
      <c r="D49" s="2"/>
    </row>
    <row r="50" spans="3:6" ht="15.75" x14ac:dyDescent="0.25">
      <c r="C50" s="4" t="s">
        <v>27</v>
      </c>
      <c r="D50" s="4" t="s">
        <v>3</v>
      </c>
      <c r="E50" s="4" t="s">
        <v>2</v>
      </c>
      <c r="F50" s="4" t="s">
        <v>4</v>
      </c>
    </row>
    <row r="51" spans="3:6" x14ac:dyDescent="0.25">
      <c r="C51" t="s">
        <v>39</v>
      </c>
      <c r="D51" s="5">
        <v>0</v>
      </c>
      <c r="E51" t="s">
        <v>49</v>
      </c>
      <c r="F51" t="s">
        <v>62</v>
      </c>
    </row>
    <row r="52" spans="3:6" x14ac:dyDescent="0.25">
      <c r="C52" t="s">
        <v>43</v>
      </c>
      <c r="D52" s="5">
        <v>1</v>
      </c>
      <c r="E52" t="s">
        <v>50</v>
      </c>
      <c r="F52" t="s">
        <v>63</v>
      </c>
    </row>
    <row r="53" spans="3:6" x14ac:dyDescent="0.25">
      <c r="C53" t="s">
        <v>44</v>
      </c>
      <c r="D53" s="5">
        <v>2</v>
      </c>
      <c r="E53" t="s">
        <v>51</v>
      </c>
      <c r="F53" t="s">
        <v>69</v>
      </c>
    </row>
    <row r="54" spans="3:6" x14ac:dyDescent="0.25">
      <c r="C54" t="s">
        <v>76</v>
      </c>
      <c r="D54" s="5">
        <v>3</v>
      </c>
      <c r="E54" t="s">
        <v>52</v>
      </c>
      <c r="F54" t="s">
        <v>70</v>
      </c>
    </row>
    <row r="55" spans="3:6" x14ac:dyDescent="0.25">
      <c r="C55" t="s">
        <v>74</v>
      </c>
      <c r="D55" s="5">
        <v>5</v>
      </c>
      <c r="E55" t="s">
        <v>75</v>
      </c>
      <c r="F55" t="s">
        <v>80</v>
      </c>
    </row>
    <row r="56" spans="3:6" x14ac:dyDescent="0.25">
      <c r="C56"/>
      <c r="D56" s="7" t="s">
        <v>60</v>
      </c>
      <c r="E56" t="s">
        <v>61</v>
      </c>
      <c r="F56" t="s">
        <v>47</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53</v>
      </c>
      <c r="D63" s="3"/>
    </row>
    <row r="64" spans="3:6" x14ac:dyDescent="0.25">
      <c r="D64" s="2"/>
    </row>
    <row r="65" spans="3:6" x14ac:dyDescent="0.25">
      <c r="D65" s="2"/>
    </row>
    <row r="66" spans="3:6" x14ac:dyDescent="0.25">
      <c r="D66" s="2"/>
    </row>
    <row r="67" spans="3:6" x14ac:dyDescent="0.25">
      <c r="D67" s="2"/>
    </row>
    <row r="68" spans="3:6" ht="15.75" x14ac:dyDescent="0.25">
      <c r="C68" s="4" t="s">
        <v>27</v>
      </c>
      <c r="D68" s="4" t="s">
        <v>3</v>
      </c>
      <c r="E68" s="4" t="s">
        <v>2</v>
      </c>
      <c r="F68" s="4" t="s">
        <v>4</v>
      </c>
    </row>
    <row r="69" spans="3:6" x14ac:dyDescent="0.25">
      <c r="C69" t="s">
        <v>40</v>
      </c>
      <c r="D69" s="3">
        <v>0</v>
      </c>
      <c r="E69" t="s">
        <v>54</v>
      </c>
      <c r="F69" t="s">
        <v>64</v>
      </c>
    </row>
    <row r="70" spans="3:6" x14ac:dyDescent="0.25">
      <c r="C70" t="s">
        <v>46</v>
      </c>
      <c r="D70" s="3">
        <v>1</v>
      </c>
      <c r="E70" t="s">
        <v>55</v>
      </c>
      <c r="F70" t="s">
        <v>65</v>
      </c>
    </row>
    <row r="71" spans="3:6" x14ac:dyDescent="0.25">
      <c r="C71" t="s">
        <v>45</v>
      </c>
      <c r="D71" s="3">
        <v>2</v>
      </c>
      <c r="E71" t="s">
        <v>56</v>
      </c>
      <c r="F71" t="s">
        <v>66</v>
      </c>
    </row>
    <row r="72" spans="3:6" x14ac:dyDescent="0.25">
      <c r="C72" t="s">
        <v>42</v>
      </c>
      <c r="D72" s="3">
        <v>3</v>
      </c>
      <c r="E72" t="s">
        <v>57</v>
      </c>
      <c r="F72" t="s">
        <v>67</v>
      </c>
    </row>
    <row r="73" spans="3:6" x14ac:dyDescent="0.25">
      <c r="C73" t="s">
        <v>89</v>
      </c>
      <c r="D73" s="3">
        <v>3</v>
      </c>
      <c r="E73" t="s">
        <v>90</v>
      </c>
      <c r="F73" t="s">
        <v>91</v>
      </c>
    </row>
    <row r="74" spans="3:6" x14ac:dyDescent="0.25">
      <c r="C74"/>
      <c r="D74" s="6" t="s">
        <v>68</v>
      </c>
      <c r="E74" t="s">
        <v>61</v>
      </c>
      <c r="F74" t="s">
        <v>47</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2026-10-02T14:38:15Z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